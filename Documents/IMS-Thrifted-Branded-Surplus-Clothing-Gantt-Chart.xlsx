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llBreach Gantt Chart" sheetId="1" r:id="rId4"/>
    <sheet state="visible" name="Lists" sheetId="2" r:id="rId5"/>
  </sheets>
  <definedNames>
    <definedName name="AssignedList">OFFSET(Lists!$B$2,0,0,COUNTA(Lists!$B$2:$B$50),1)</definedName>
    <definedName name="StatusList">OFFSET(Lists!$A$2,0,0,COUNTA(Lists!$A$2:$A$50),1)</definedName>
  </definedNames>
  <calcPr/>
  <extLst>
    <ext uri="GoogleSheetsCustomDataVersion2">
      <go:sheetsCustomData xmlns:go="http://customooxmlschemas.google.com/" r:id="rId6" roundtripDataChecksum="uXrRXo4lnKwrYcq2fz4+MaNdW1DEizRv3PL4N0KXCKI="/>
    </ext>
  </extLst>
</workbook>
</file>

<file path=xl/sharedStrings.xml><?xml version="1.0" encoding="utf-8"?>
<sst xmlns="http://schemas.openxmlformats.org/spreadsheetml/2006/main" count="303" uniqueCount="200">
  <si>
    <t>STATUS</t>
  </si>
  <si>
    <t>PROJECT: INVENTORY MANAGEMENT SYSTEM  Thrifted &amp; Branded Surplus Clothing – Development Gantt Chart</t>
  </si>
  <si>
    <t>ASSIGNED TO</t>
  </si>
  <si>
    <t>To add a new option, type it in the next empty cell under the list. The dropdowns pick it up automatically.</t>
  </si>
  <si>
    <t>Not Started</t>
  </si>
  <si>
    <t>Project Manager</t>
  </si>
  <si>
    <t>In Progress</t>
  </si>
  <si>
    <t>System Developer</t>
  </si>
  <si>
    <t>Complete</t>
  </si>
  <si>
    <t>UI/UX Designer</t>
  </si>
  <si>
    <t>QA</t>
  </si>
  <si>
    <t>System Analyst</t>
  </si>
  <si>
    <t>Tester</t>
  </si>
  <si>
    <t>Project Team</t>
  </si>
  <si>
    <t>Project Manager &amp; System Analyst</t>
  </si>
  <si>
    <t>QA &amp; System Developer</t>
  </si>
  <si>
    <t>PROJECT TITLE</t>
  </si>
  <si>
    <t>QA &amp; Tester</t>
  </si>
  <si>
    <t xml:space="preserve">   Inventory Management System for Thrifted &amp; Branded Surplus Clothing</t>
  </si>
  <si>
    <t>QA, Tester &amp; System Analyst</t>
  </si>
  <si>
    <t>System Analyst &amp; UI/UX Designer</t>
  </si>
  <si>
    <t>START DATE</t>
  </si>
  <si>
    <t>System Developer &amp; Tester</t>
  </si>
  <si>
    <t>System Developer &amp; UI/UX Designer</t>
  </si>
  <si>
    <t>Tester &amp; QA</t>
  </si>
  <si>
    <t>TEAM</t>
  </si>
  <si>
    <t>SQ-Way  |  Weeks 4–14</t>
  </si>
  <si>
    <t>END DATE</t>
  </si>
  <si>
    <t>DURATION</t>
  </si>
  <si>
    <t>LEGEND:</t>
  </si>
  <si>
    <r>
      <rPr>
        <rFont val="Arial"/>
        <b/>
        <color rgb="FF059669"/>
        <sz val="8.0"/>
      </rPr>
      <t xml:space="preserve">▬ Complete          </t>
    </r>
    <r>
      <rPr>
        <rFont val="Arial"/>
        <b/>
        <color rgb="FF666666"/>
        <sz val="8.0"/>
      </rPr>
      <t xml:space="preserve"> ▬ Not Started</t>
    </r>
    <r>
      <rPr>
        <rFont val="Arial"/>
        <b/>
        <color rgb="FF059669"/>
        <sz val="8.0"/>
      </rPr>
      <t xml:space="preserve">          </t>
    </r>
    <r>
      <rPr>
        <rFont val="Arial"/>
        <b/>
        <color rgb="FF0000FF"/>
        <sz val="8.0"/>
      </rPr>
      <t>▬ In Progress</t>
    </r>
    <r>
      <rPr>
        <rFont val="Arial"/>
        <b/>
        <color rgb="FF059669"/>
        <sz val="8.0"/>
      </rPr>
      <t xml:space="preserve">
</t>
    </r>
  </si>
  <si>
    <t>WBS</t>
  </si>
  <si>
    <t>TASK NAME</t>
  </si>
  <si>
    <t>START</t>
  </si>
  <si>
    <t>END</t>
  </si>
  <si>
    <t>DAYS</t>
  </si>
  <si>
    <t>TASK ID / WEEKS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</si>
  <si>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</si>
  <si>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</si>
  <si>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</si>
  <si>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</si>
  <si>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</si>
  <si>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</si>
  <si>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</si>
  <si>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</si>
  <si>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</si>
  <si>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</si>
  <si>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</si>
  <si>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Sep 7–13</t>
  </si>
  <si>
    <t>Sep 14–20</t>
  </si>
  <si>
    <t>Sep 21–27</t>
  </si>
  <si>
    <t>Sep 28– Oct 4</t>
  </si>
  <si>
    <t>Oct 5–11</t>
  </si>
  <si>
    <t>Oct 12–18</t>
  </si>
  <si>
    <t>Oct 19–25</t>
  </si>
  <si>
    <t>Oct 26– Nov 1</t>
  </si>
  <si>
    <t>Nov 2–8</t>
  </si>
  <si>
    <t>Nov 9–15</t>
  </si>
  <si>
    <t>Nov 16–22</t>
  </si>
  <si>
    <t>PHASE 1: PLANNING &amp; REQUIREMENTS</t>
  </si>
  <si>
    <t>Week 4 - 5</t>
  </si>
  <si>
    <t>– Project Planning &amp; Documentation</t>
  </si>
  <si>
    <t>IMS-01-01</t>
  </si>
  <si>
    <t>1.1.1</t>
  </si>
  <si>
    <t>–– Finalize Project Topic &amp; Scope</t>
  </si>
  <si>
    <t>IMS-01-01-01</t>
  </si>
  <si>
    <t>1.1.2</t>
  </si>
  <si>
    <t>–– Draft Development Plan &amp; Timeline</t>
  </si>
  <si>
    <t>IMS-01-01-02</t>
  </si>
  <si>
    <t>1.1.3</t>
  </si>
  <si>
    <t>–– Process Flow &amp; Process Analysis</t>
  </si>
  <si>
    <t>IMS-01-01-03</t>
  </si>
  <si>
    <t>1.1.4</t>
  </si>
  <si>
    <t>–– Draft Test Plan</t>
  </si>
  <si>
    <t>IMS-01-01-04</t>
  </si>
  <si>
    <t>– Requirements Analysis</t>
  </si>
  <si>
    <t>IMS-01-02</t>
  </si>
  <si>
    <t>1.2.1</t>
  </si>
  <si>
    <t>–– Gather Needs of Staff, Reviewer &amp; Admin</t>
  </si>
  <si>
    <t>IMS-01-02-01</t>
  </si>
  <si>
    <t>1.2.2</t>
  </si>
  <si>
    <t>–– Document Functional Requirements</t>
  </si>
  <si>
    <t>IMS-01-02-02</t>
  </si>
  <si>
    <t>1.2.3</t>
  </si>
  <si>
    <t>–– Document Non-Functional Requirements</t>
  </si>
  <si>
    <t>IMS-01-02-03</t>
  </si>
  <si>
    <t>PHASE 2: ANALYSIS &amp; DESIGN</t>
  </si>
  <si>
    <t>Week 6 - 7</t>
  </si>
  <si>
    <t>– System Analysis &amp; Design</t>
  </si>
  <si>
    <t>IMS-02-01</t>
  </si>
  <si>
    <t>2.1.1</t>
  </si>
  <si>
    <t>–– Finalize Item Status Flow</t>
  </si>
  <si>
    <t>IMS-02-01-01</t>
  </si>
  <si>
    <t>2.1.2</t>
  </si>
  <si>
    <t>–– Define User Roles &amp; Permissions</t>
  </si>
  <si>
    <t>IMS-02-01-02</t>
  </si>
  <si>
    <t>2.1.3</t>
  </si>
  <si>
    <t>–– Use Cases &amp; Overall System Design</t>
  </si>
  <si>
    <t>IMS-02-01-03</t>
  </si>
  <si>
    <t>– Database &amp; Interface Design</t>
  </si>
  <si>
    <t>IMS-02-02</t>
  </si>
  <si>
    <t>2.2.1</t>
  </si>
  <si>
    <t>–– Database Design (Items, Users, Status Logs)</t>
  </si>
  <si>
    <t>IMS-02-02-01</t>
  </si>
  <si>
    <t>2.2.2</t>
  </si>
  <si>
    <t>–– UI Layouts (Login, Item Form, Pending Queue)</t>
  </si>
  <si>
    <t>IMS-02-02-02</t>
  </si>
  <si>
    <t>PHASE 3: INTAKE, AUTHENTICATION &amp; APPROVAL</t>
  </si>
  <si>
    <t>Week 8 - 9</t>
  </si>
  <si>
    <t>– Item Intake &amp; Authentication</t>
  </si>
  <si>
    <t>IMS-03-01</t>
  </si>
  <si>
    <t>3.1.1</t>
  </si>
  <si>
    <t>–– Project Setup, Database Tables &amp; Login Screen</t>
  </si>
  <si>
    <t>IMS-03-01-01</t>
  </si>
  <si>
    <t>3.1.2</t>
  </si>
  <si>
    <t>–– Role-Based Access Control</t>
  </si>
  <si>
    <t>IMS-03-01-02</t>
  </si>
  <si>
    <t>3.1.3</t>
  </si>
  <si>
    <t>–– Add Item Form (New Items = Pending)</t>
  </si>
  <si>
    <t>IMS-03-01-03</t>
  </si>
  <si>
    <t>– Approval Workflow</t>
  </si>
  <si>
    <t>IMS-03-02</t>
  </si>
  <si>
    <t>3.2.1</t>
  </si>
  <si>
    <t>–– Pending Items Queue</t>
  </si>
  <si>
    <t>IMS-03-02-01</t>
  </si>
  <si>
    <t>3.2.2</t>
  </si>
  <si>
    <t>–– Approve / Reject Actions &amp; Reason Capture</t>
  </si>
  <si>
    <t>IMS-03-02-02</t>
  </si>
  <si>
    <t>3.2.3</t>
  </si>
  <si>
    <t>–– Status Transition Logic</t>
  </si>
  <si>
    <t>IMS-03-02-03</t>
  </si>
  <si>
    <t>PHASE 4: SALES, STOCK &amp; REPORTS</t>
  </si>
  <si>
    <t>Week 9 - 10</t>
  </si>
  <si>
    <t>– Sales &amp; Stock</t>
  </si>
  <si>
    <t>IMS-04-01</t>
  </si>
  <si>
    <t>4.1.1</t>
  </si>
  <si>
    <t>–– Sale / Checkout Screen</t>
  </si>
  <si>
    <t>IMS-04-01-01</t>
  </si>
  <si>
    <t>4.1.2</t>
  </si>
  <si>
    <t>–– Stock Tracking &amp; Low-Stock Flagging</t>
  </si>
  <si>
    <t>IMS-04-01-02</t>
  </si>
  <si>
    <t>4.1.3</t>
  </si>
  <si>
    <t>–– Enforce Only In Stock Items Can Be Sold</t>
  </si>
  <si>
    <t>IMS-04-01-03</t>
  </si>
  <si>
    <t>– Reports &amp; Integration</t>
  </si>
  <si>
    <t>IMS-04-02</t>
  </si>
  <si>
    <t>4.2.1</t>
  </si>
  <si>
    <t>–– Inventory Search &amp; Dashboard</t>
  </si>
  <si>
    <t>IMS-04-02-01</t>
  </si>
  <si>
    <t>4.2.2</t>
  </si>
  <si>
    <t>–– Reports Screens</t>
  </si>
  <si>
    <t>IMS-04-02-02</t>
  </si>
  <si>
    <t>4.2.3</t>
  </si>
  <si>
    <t>–– Module Integration &amp; Status Logging</t>
  </si>
  <si>
    <t>IMS-04-02-03</t>
  </si>
  <si>
    <t>PHASE 5: TESTING (SYSTEM TESTING &amp; UAT)</t>
  </si>
  <si>
    <t>Week 11 - 12</t>
  </si>
  <si>
    <t>– System Testing (Postman Collection Automation)</t>
  </si>
  <si>
    <t>IMS-05-01</t>
  </si>
  <si>
    <t>5.1.1</t>
  </si>
  <si>
    <t>–– Build Postman Collection &amp; Test Cases</t>
  </si>
  <si>
    <t>IMS-05-01-01</t>
  </si>
  <si>
    <t>5.1.2</t>
  </si>
  <si>
    <t>–– Run Collection via Newman (Functional, Integration &amp; Status-Rule Tests)</t>
  </si>
  <si>
    <t>IMS-05-01-02</t>
  </si>
  <si>
    <t>5.1.3</t>
  </si>
  <si>
    <t>–– Defect Logging &amp; Test Report</t>
  </si>
  <si>
    <t>IMS-05-01-03</t>
  </si>
  <si>
    <t>– User Acceptance Testing (UAT)</t>
  </si>
  <si>
    <t>IMS-05-02</t>
  </si>
  <si>
    <t>5.2.1</t>
  </si>
  <si>
    <t>–– UAT with Staff &amp; Reviewer Roles</t>
  </si>
  <si>
    <t>IMS-05-02-01</t>
  </si>
  <si>
    <t>5.2.2</t>
  </si>
  <si>
    <t>–– Gather Feedback &amp; Evaluate Usability</t>
  </si>
  <si>
    <t>IMS-05-02-02</t>
  </si>
  <si>
    <t>5.2.3</t>
  </si>
  <si>
    <t>–– UAT Report &amp; Test Sign-off</t>
  </si>
  <si>
    <t>IMS-05-02-03</t>
  </si>
  <si>
    <t>PHASE 6: FINALIZATION &amp; DEPLOYMENT</t>
  </si>
  <si>
    <t>Week 13 - 14</t>
  </si>
  <si>
    <t>– Defect Fixing, Final Testing &amp; Deployment</t>
  </si>
  <si>
    <t>IMS-06-01</t>
  </si>
  <si>
    <t>6.1.1</t>
  </si>
  <si>
    <t>–– Defect Fixing &amp; Refinement (from Test &amp; UAT Reports)</t>
  </si>
  <si>
    <t>IMS-06-01-01</t>
  </si>
  <si>
    <t>6.1.2</t>
  </si>
  <si>
    <t>–– Regression &amp; Final Testing (Re-run Postman Collection)</t>
  </si>
  <si>
    <t>IMS-06-01-02</t>
  </si>
  <si>
    <t>6.1.3</t>
  </si>
  <si>
    <t>–– Deploy Completed System</t>
  </si>
  <si>
    <t>IMS-06-01-03</t>
  </si>
  <si>
    <t>– Documentation &amp; Presentation</t>
  </si>
  <si>
    <t>IMS-06-02</t>
  </si>
  <si>
    <t>6.2.1</t>
  </si>
  <si>
    <t>–– Finalize Documentation</t>
  </si>
  <si>
    <t>IMS-06-02-01</t>
  </si>
  <si>
    <t>6.2.2</t>
  </si>
  <si>
    <t>–– Present Deployed System</t>
  </si>
  <si>
    <t>IMS-06-02-02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</si>
</sst>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rgb="FFFFFFFF"/>
      <name val="Arial"/>
    </font>
    <font>
      <i/>
      <sz val="9.0"/>
      <color theme="1"/>
      <name val="Arial"/>
    </font>
    <font>
      <sz val="10.0"/>
      <color theme="1"/>
      <name val="Arial"/>
    </font>
    <font>
      <b/>
      <sz val="16.0"/>
      <color rgb="FFFFFFFF"/>
      <name val="Arial"/>
    </font>
    <font/>
    <font>
      <b/>
      <sz val="8.0"/>
      <color rgb="FF6B7280"/>
      <name val="Arial"/>
    </font>
    <font>
      <sz val="10.0"/>
      <color rgb="FF000000"/>
      <name val="Century Gothic"/>
    </font>
    <font>
      <b/>
      <sz val="9.0"/>
      <color rgb="FF1F2937"/>
      <name val="Arial"/>
    </font>
    <font>
      <b/>
      <sz val="8.0"/>
      <color rgb="FF000000"/>
      <name val="Arial"/>
    </font>
    <font>
      <b/>
      <sz val="8.0"/>
      <color rgb="FF059669"/>
      <name val="Arial"/>
    </font>
    <font>
      <b/>
      <sz val="8.0"/>
      <color rgb="FFFFFFFF"/>
      <name val="Arial"/>
    </font>
    <font>
      <b/>
      <sz val="7.0"/>
      <color rgb="FFFFFFFF"/>
      <name val="Arial"/>
    </font>
    <font>
      <b/>
      <sz val="9.0"/>
      <color rgb="FFFFFFFF"/>
      <name val="Arial"/>
    </font>
    <font>
      <b/>
      <sz val="8.0"/>
      <color rgb="FF1F2937"/>
      <name val="Arial"/>
    </font>
    <font>
      <sz val="8.0"/>
      <color rgb="FF1F293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1E3A5F"/>
        <bgColor rgb="FF1E3A5F"/>
      </patternFill>
    </fill>
    <fill>
      <patternFill patternType="solid">
        <fgColor rgb="FF374151"/>
        <bgColor rgb="FF374151"/>
      </patternFill>
    </fill>
    <fill>
      <patternFill patternType="solid">
        <fgColor rgb="FF2D3748"/>
        <bgColor rgb="FF2D374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5E7EB"/>
        <bgColor rgb="FFE5E7EB"/>
      </patternFill>
    </fill>
    <fill>
      <patternFill patternType="solid">
        <fgColor rgb="FF059669"/>
        <bgColor rgb="FF059669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2" fontId="5" numFmtId="0" xfId="0" applyAlignment="1" applyBorder="1" applyFill="1" applyFont="1">
      <alignment horizontal="center" shrinkToFit="0" vertical="center" wrapText="0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5" fillId="2" fontId="12" numFmtId="0" xfId="0" applyAlignment="1" applyBorder="1" applyFill="1" applyFont="1">
      <alignment horizontal="center" shrinkToFit="0" vertical="center" wrapText="0"/>
    </xf>
    <xf borderId="5" fillId="3" fontId="13" numFmtId="0" xfId="0" applyAlignment="1" applyBorder="1" applyFill="1" applyFont="1">
      <alignment horizontal="center" shrinkToFit="0" vertical="center" wrapText="0"/>
    </xf>
    <xf borderId="5" fillId="4" fontId="14" numFmtId="0" xfId="0" applyAlignment="1" applyBorder="1" applyFill="1" applyFont="1">
      <alignment horizontal="center" shrinkToFit="0" vertical="center" wrapText="0"/>
    </xf>
    <xf borderId="5" fillId="4" fontId="14" numFmtId="0" xfId="0" applyAlignment="1" applyBorder="1" applyFill="1" applyFont="1">
      <alignment horizontal="left" shrinkToFit="0" vertical="center" wrapText="0"/>
    </xf>
    <xf borderId="5" fillId="4" fontId="14" numFmtId="164" xfId="0" applyAlignment="1" applyBorder="1" applyFill="1" applyFont="1" applyNumberFormat="1">
      <alignment horizontal="center" shrinkToFit="0" vertical="center" wrapText="0"/>
    </xf>
    <xf borderId="5" fillId="5" fontId="1" numFmtId="0" xfId="0" applyAlignment="1" applyBorder="1" applyFill="1" applyFont="1">
      <alignment horizontal="center" shrinkToFit="0" vertical="center" wrapText="0"/>
    </xf>
    <xf borderId="5" fillId="6" fontId="15" numFmtId="0" xfId="0" applyAlignment="1" applyBorder="1" applyFill="1" applyFont="1">
      <alignment horizontal="center" shrinkToFit="0" vertical="center" wrapText="0"/>
    </xf>
    <xf borderId="5" fillId="6" fontId="15" numFmtId="0" xfId="0" applyAlignment="1" applyBorder="1" applyFill="1" applyFont="1">
      <alignment horizontal="left" shrinkToFit="0" vertical="center" wrapText="0"/>
    </xf>
    <xf borderId="5" fillId="6" fontId="15" numFmtId="164" xfId="0" applyAlignment="1" applyBorder="1" applyFill="1" applyFont="1" applyNumberFormat="1">
      <alignment horizontal="center" shrinkToFit="0" vertical="center" wrapText="0"/>
    </xf>
    <xf borderId="5" fillId="6" fontId="16" numFmtId="0" xfId="0" applyAlignment="1" applyBorder="1" applyFill="1" applyFont="1">
      <alignment horizontal="center" shrinkToFit="0" vertical="center" wrapText="0"/>
    </xf>
    <xf borderId="5" fillId="7" fontId="1" numFmtId="0" xfId="0" applyAlignment="1" applyBorder="1" applyFill="1" applyFont="1">
      <alignment horizontal="center" shrinkToFit="0" vertical="center" wrapText="0"/>
    </xf>
    <xf borderId="5" fillId="6" fontId="16" numFmtId="0" xfId="0" applyAlignment="1" applyBorder="1" applyFill="1" applyFont="1">
      <alignment horizontal="left" shrinkToFit="0" vertical="center" wrapText="0"/>
    </xf>
    <xf borderId="5" fillId="6" fontId="16" numFmtId="164" xfId="0" applyAlignment="1" applyBorder="1" applyFill="1" applyFont="1" applyNumberFormat="1">
      <alignment horizontal="center" shrinkToFit="0" vertical="center" wrapText="0"/>
    </xf>
    <xf borderId="5" fillId="8" fontId="15" numFmtId="0" xfId="0" applyAlignment="1" applyBorder="1" applyFill="1" applyFont="1">
      <alignment horizontal="center" shrinkToFit="0" vertical="center" wrapText="0"/>
    </xf>
    <xf borderId="5" fillId="8" fontId="15" numFmtId="0" xfId="0" applyAlignment="1" applyBorder="1" applyFill="1" applyFont="1">
      <alignment horizontal="left" shrinkToFit="0" vertical="center" wrapText="0"/>
    </xf>
    <xf borderId="5" fillId="8" fontId="15" numFmtId="164" xfId="0" applyAlignment="1" applyBorder="1" applyFill="1" applyFont="1" applyNumberFormat="1">
      <alignment horizontal="center" shrinkToFit="0" vertical="center" wrapText="0"/>
    </xf>
    <xf borderId="5" fillId="8" fontId="16" numFmtId="0" xfId="0" applyAlignment="1" applyBorder="1" applyFill="1" applyFont="1">
      <alignment horizontal="center" shrinkToFit="0" vertical="center" wrapText="0"/>
    </xf>
    <xf borderId="5" fillId="8" fontId="16" numFmtId="0" xfId="0" applyAlignment="1" applyBorder="1" applyFill="1" applyFont="1">
      <alignment horizontal="left" shrinkToFit="0" vertical="center" wrapText="0"/>
    </xf>
    <xf borderId="5" fillId="8" fontId="16" numFmtId="164" xfId="0" applyAlignment="1" applyBorder="1" applyFill="1" applyFont="1" applyNumberFormat="1">
      <alignment horizontal="center" shrinkToFit="0" vertical="center" wrapText="0"/>
    </xf>
    <xf borderId="5" fillId="9" fontId="16" numFmtId="0" xfId="0" applyAlignment="1" applyBorder="1" applyFill="1" applyFont="1">
      <alignment horizontal="center" shrinkToFit="0" vertical="center" wrapText="0"/>
    </xf>
    <xf borderId="5" fillId="9" fontId="16" numFmtId="0" xfId="0" applyAlignment="1" applyBorder="1" applyFill="1" applyFont="1">
      <alignment horizontal="left" shrinkToFit="0" vertical="center" wrapText="0"/>
    </xf>
    <xf borderId="5" fillId="9" fontId="16" numFmtId="164" xfId="0" applyAlignment="1" applyBorder="1" applyFill="1" applyFont="1" applyNumberFormat="1">
      <alignment horizontal="center" shrinkToFit="0" vertical="center" wrapText="0"/>
    </xf>
    <xf borderId="5" fillId="9" fontId="15" numFmtId="0" xfId="0" applyAlignment="1" applyBorder="1" applyFill="1" applyFont="1">
      <alignment horizontal="center" shrinkToFit="0" vertical="center" wrapText="0"/>
    </xf>
    <xf borderId="5" fillId="9" fontId="15" numFmtId="0" xfId="0" applyAlignment="1" applyBorder="1" applyFill="1" applyFont="1">
      <alignment horizontal="left" shrinkToFit="0" vertical="center" wrapText="0"/>
    </xf>
    <xf borderId="5" fillId="9" fontId="15" numFmtId="164" xfId="0" applyAlignment="1" applyBorder="1" applyFill="1" applyFont="1" applyNumberFormat="1">
      <alignment horizontal="center" shrinkToFit="0" vertical="center" wrapText="0"/>
    </xf>
    <xf borderId="5" fillId="10" fontId="1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059669"/>
          <bgColor rgb="FF059669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5E7EB"/>
          <bgColor rgb="FFE5E7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2937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.86"/>
    <col customWidth="1" min="2" max="2" width="12.86"/>
    <col customWidth="1" min="3" max="3" width="50.0"/>
    <col customWidth="1" min="4" max="4" width="14.86"/>
    <col customWidth="1" min="5" max="5" width="30.0"/>
    <col customWidth="1" min="6" max="7" width="10.0"/>
    <col customWidth="1" min="8" max="8" width="9.0"/>
    <col customWidth="1" min="9" max="9" width="26.0"/>
    <col customWidth="1" min="10" max="10" width="2.0"/>
    <col customWidth="1" min="11" max="11" width="14.71"/>
    <col customWidth="1" min="12" max="22" width="13.0"/>
  </cols>
  <sheetData>
    <row r="1" ht="42.0" customHeight="1">
      <c r="A1" s="1"/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  <c r="W1" s="1"/>
      <c r="X1" s="1"/>
      <c r="Y1" s="1"/>
      <c r="Z1" s="1"/>
    </row>
    <row r="2" ht="34.5" customHeight="1">
      <c r="A2" s="1"/>
      <c r="B2" s="8" t="s">
        <v>16</v>
      </c>
      <c r="C2" s="9" t="s">
        <v>18</v>
      </c>
      <c r="D2" s="1"/>
      <c r="E2" s="1"/>
      <c r="F2" s="1"/>
      <c r="G2" s="8" t="s">
        <v>21</v>
      </c>
      <c r="H2" s="1"/>
      <c r="I2" s="10">
        <v>46272.0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8.5" customHeight="1">
      <c r="A3" s="1"/>
      <c r="B3" s="8" t="s">
        <v>25</v>
      </c>
      <c r="C3" s="9" t="s">
        <v>26</v>
      </c>
      <c r="D3" s="1"/>
      <c r="E3" s="1"/>
      <c r="F3" s="1"/>
      <c r="G3" s="8" t="s">
        <v>27</v>
      </c>
      <c r="H3" s="1"/>
      <c r="I3" s="10">
        <v>46348.0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/>
      <c r="C4" s="1"/>
      <c r="D4" s="1"/>
      <c r="E4" s="1"/>
      <c r="F4" s="1"/>
      <c r="G4" s="8" t="s">
        <v>28</v>
      </c>
      <c r="H4" s="1"/>
      <c r="I4" s="11">
        <f>I3-I2+1</f>
        <v>77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2" t="s">
        <v>29</v>
      </c>
      <c r="C5" s="13" t="s">
        <v>30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4" t="s">
        <v>31</v>
      </c>
      <c r="C6" s="14" t="s">
        <v>32</v>
      </c>
      <c r="D6" s="14" t="s">
        <v>0</v>
      </c>
      <c r="E6" s="14" t="s">
        <v>2</v>
      </c>
      <c r="F6" s="14" t="s">
        <v>33</v>
      </c>
      <c r="G6" s="14" t="s">
        <v>34</v>
      </c>
      <c r="H6" s="14" t="s">
        <v>35</v>
      </c>
      <c r="I6" s="14" t="s">
        <v>36</v>
      </c>
      <c r="J6" s="1"/>
      <c r="K6" s="14" t="s">
        <v>0</v>
      </c>
      <c r="L6" s="14" t="s">
        <v>37</v>
      </c>
      <c r="M6" s="14" t="s">
        <v>38</v>
      </c>
      <c r="N6" s="14" t="s">
        <v>39</v>
      </c>
      <c r="O6" s="14" t="s">
        <v>40</v>
      </c>
      <c r="P6" s="14" t="s">
        <v>41</v>
      </c>
      <c r="Q6" s="14" t="s">
        <v>42</v>
      </c>
      <c r="R6" s="14" t="s">
        <v>43</v>
      </c>
      <c r="S6" s="14" t="s">
        <v>44</v>
      </c>
      <c r="T6" s="14" t="s">
        <v>45</v>
      </c>
      <c r="U6" s="14" t="s">
        <v>46</v>
      </c>
      <c r="V6" s="14" t="s">
        <v>47</v>
      </c>
      <c r="W6" s="1"/>
      <c r="X6" s="1"/>
      <c r="Y6" s="1"/>
      <c r="Z6" s="1"/>
    </row>
    <row r="7" ht="21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5" t="s">
        <v>48</v>
      </c>
      <c r="M7" s="15" t="s">
        <v>49</v>
      </c>
      <c r="N7" s="15" t="s">
        <v>50</v>
      </c>
      <c r="O7" s="15" t="s">
        <v>51</v>
      </c>
      <c r="P7" s="15" t="s">
        <v>52</v>
      </c>
      <c r="Q7" s="15" t="s">
        <v>53</v>
      </c>
      <c r="R7" s="15" t="s">
        <v>54</v>
      </c>
      <c r="S7" s="15" t="s">
        <v>55</v>
      </c>
      <c r="T7" s="15" t="s">
        <v>56</v>
      </c>
      <c r="U7" s="15" t="s">
        <v>57</v>
      </c>
      <c r="V7" s="15" t="s">
        <v>58</v>
      </c>
      <c r="W7" s="1"/>
      <c r="X7" s="1"/>
      <c r="Y7" s="1"/>
      <c r="Z7" s="1"/>
    </row>
    <row r="8" ht="21.75" customHeight="1">
      <c r="A8" s="1"/>
      <c r="B8" s="16">
        <v>1.0</v>
      </c>
      <c r="C8" s="17" t="s">
        <v>59</v>
      </c>
      <c r="D8" s="16" t="s">
        <v>8</v>
      </c>
      <c r="E8" s="17"/>
      <c r="F8" s="18">
        <v>46272.0</v>
      </c>
      <c r="G8" s="18">
        <v>46285.0</v>
      </c>
      <c r="H8" s="16">
        <f t="shared" ref="H8:H60" si="1">G8-F8+1</f>
        <v>14</v>
      </c>
      <c r="I8" s="17" t="s">
        <v>60</v>
      </c>
      <c r="J8" s="1"/>
      <c r="K8" s="16" t="str">
        <f t="shared" ref="K8:K60" si="2">D8</f>
        <v>Complete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"/>
      <c r="X8" s="1"/>
      <c r="Y8" s="1"/>
      <c r="Z8" s="1"/>
    </row>
    <row r="9" ht="21.75" customHeight="1">
      <c r="A9" s="1"/>
      <c r="B9" s="20">
        <v>1.1</v>
      </c>
      <c r="C9" s="21" t="s">
        <v>61</v>
      </c>
      <c r="D9" s="20" t="s">
        <v>8</v>
      </c>
      <c r="E9" s="21" t="s">
        <v>14</v>
      </c>
      <c r="F9" s="22">
        <v>46272.0</v>
      </c>
      <c r="G9" s="22">
        <v>46278.0</v>
      </c>
      <c r="H9" s="20">
        <f t="shared" si="1"/>
        <v>7</v>
      </c>
      <c r="I9" s="21" t="s">
        <v>62</v>
      </c>
      <c r="J9" s="1"/>
      <c r="K9" s="23" t="str">
        <f t="shared" si="2"/>
        <v>Complete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1"/>
      <c r="X9" s="1"/>
      <c r="Y9" s="1"/>
      <c r="Z9" s="1"/>
    </row>
    <row r="10" ht="21.75" customHeight="1">
      <c r="A10" s="1"/>
      <c r="B10" s="23" t="s">
        <v>63</v>
      </c>
      <c r="C10" s="25" t="s">
        <v>64</v>
      </c>
      <c r="D10" s="23" t="s">
        <v>8</v>
      </c>
      <c r="E10" s="25" t="s">
        <v>5</v>
      </c>
      <c r="F10" s="26">
        <v>46272.0</v>
      </c>
      <c r="G10" s="26">
        <v>46273.0</v>
      </c>
      <c r="H10" s="23">
        <f t="shared" si="1"/>
        <v>2</v>
      </c>
      <c r="I10" s="25" t="s">
        <v>65</v>
      </c>
      <c r="J10" s="1"/>
      <c r="K10" s="23" t="str">
        <f t="shared" si="2"/>
        <v>Complete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1"/>
      <c r="X10" s="1"/>
      <c r="Y10" s="1"/>
      <c r="Z10" s="1"/>
    </row>
    <row r="11" ht="21.75" customHeight="1">
      <c r="A11" s="1"/>
      <c r="B11" s="23" t="s">
        <v>66</v>
      </c>
      <c r="C11" s="25" t="s">
        <v>67</v>
      </c>
      <c r="D11" s="23" t="s">
        <v>8</v>
      </c>
      <c r="E11" s="25" t="s">
        <v>5</v>
      </c>
      <c r="F11" s="26">
        <v>46274.0</v>
      </c>
      <c r="G11" s="26">
        <v>46275.0</v>
      </c>
      <c r="H11" s="23">
        <f t="shared" si="1"/>
        <v>2</v>
      </c>
      <c r="I11" s="25" t="s">
        <v>68</v>
      </c>
      <c r="J11" s="1"/>
      <c r="K11" s="23" t="str">
        <f t="shared" si="2"/>
        <v>Complete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1"/>
      <c r="X11" s="1"/>
      <c r="Y11" s="1"/>
      <c r="Z11" s="1"/>
    </row>
    <row r="12" ht="21.75" customHeight="1">
      <c r="A12" s="1"/>
      <c r="B12" s="23" t="s">
        <v>69</v>
      </c>
      <c r="C12" s="25" t="s">
        <v>70</v>
      </c>
      <c r="D12" s="23" t="s">
        <v>8</v>
      </c>
      <c r="E12" s="25" t="s">
        <v>11</v>
      </c>
      <c r="F12" s="26">
        <v>46275.0</v>
      </c>
      <c r="G12" s="26">
        <v>46277.0</v>
      </c>
      <c r="H12" s="23">
        <f t="shared" si="1"/>
        <v>3</v>
      </c>
      <c r="I12" s="25" t="s">
        <v>71</v>
      </c>
      <c r="J12" s="1"/>
      <c r="K12" s="23" t="str">
        <f t="shared" si="2"/>
        <v>Complete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1"/>
      <c r="X12" s="1"/>
      <c r="Y12" s="1"/>
      <c r="Z12" s="1"/>
    </row>
    <row r="13" ht="21.75" customHeight="1">
      <c r="A13" s="1"/>
      <c r="B13" s="23" t="s">
        <v>72</v>
      </c>
      <c r="C13" s="25" t="s">
        <v>73</v>
      </c>
      <c r="D13" s="23" t="s">
        <v>8</v>
      </c>
      <c r="E13" s="25" t="s">
        <v>17</v>
      </c>
      <c r="F13" s="26">
        <v>46276.0</v>
      </c>
      <c r="G13" s="26">
        <v>46278.0</v>
      </c>
      <c r="H13" s="23">
        <f t="shared" si="1"/>
        <v>3</v>
      </c>
      <c r="I13" s="25" t="s">
        <v>74</v>
      </c>
      <c r="J13" s="1"/>
      <c r="K13" s="23" t="str">
        <f t="shared" si="2"/>
        <v>Complete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1"/>
      <c r="X13" s="1"/>
      <c r="Y13" s="1"/>
      <c r="Z13" s="1"/>
    </row>
    <row r="14" ht="21.75" customHeight="1">
      <c r="A14" s="1"/>
      <c r="B14" s="20">
        <v>1.2</v>
      </c>
      <c r="C14" s="21" t="s">
        <v>75</v>
      </c>
      <c r="D14" s="20" t="s">
        <v>8</v>
      </c>
      <c r="E14" s="21" t="s">
        <v>11</v>
      </c>
      <c r="F14" s="22">
        <v>46279.0</v>
      </c>
      <c r="G14" s="22">
        <v>46285.0</v>
      </c>
      <c r="H14" s="20">
        <f t="shared" si="1"/>
        <v>7</v>
      </c>
      <c r="I14" s="21" t="s">
        <v>76</v>
      </c>
      <c r="J14" s="1"/>
      <c r="K14" s="23" t="str">
        <f t="shared" si="2"/>
        <v>Complete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1"/>
      <c r="X14" s="1"/>
      <c r="Y14" s="1"/>
      <c r="Z14" s="1"/>
    </row>
    <row r="15" ht="21.75" customHeight="1">
      <c r="A15" s="1"/>
      <c r="B15" s="23" t="s">
        <v>77</v>
      </c>
      <c r="C15" s="25" t="s">
        <v>78</v>
      </c>
      <c r="D15" s="23" t="s">
        <v>8</v>
      </c>
      <c r="E15" s="25" t="s">
        <v>11</v>
      </c>
      <c r="F15" s="26">
        <v>46279.0</v>
      </c>
      <c r="G15" s="26">
        <v>46281.0</v>
      </c>
      <c r="H15" s="23">
        <f t="shared" si="1"/>
        <v>3</v>
      </c>
      <c r="I15" s="25" t="s">
        <v>79</v>
      </c>
      <c r="J15" s="1"/>
      <c r="K15" s="23" t="str">
        <f t="shared" si="2"/>
        <v>Complete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1"/>
      <c r="X15" s="1"/>
      <c r="Y15" s="1"/>
      <c r="Z15" s="1"/>
    </row>
    <row r="16" ht="21.75" customHeight="1">
      <c r="A16" s="1"/>
      <c r="B16" s="23" t="s">
        <v>80</v>
      </c>
      <c r="C16" s="25" t="s">
        <v>81</v>
      </c>
      <c r="D16" s="23" t="s">
        <v>8</v>
      </c>
      <c r="E16" s="25" t="s">
        <v>11</v>
      </c>
      <c r="F16" s="26">
        <v>46281.0</v>
      </c>
      <c r="G16" s="26">
        <v>46283.0</v>
      </c>
      <c r="H16" s="23">
        <f t="shared" si="1"/>
        <v>3</v>
      </c>
      <c r="I16" s="25" t="s">
        <v>82</v>
      </c>
      <c r="J16" s="1"/>
      <c r="K16" s="23" t="str">
        <f t="shared" si="2"/>
        <v>Complete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1"/>
      <c r="X16" s="1"/>
      <c r="Y16" s="1"/>
      <c r="Z16" s="1"/>
    </row>
    <row r="17" ht="21.75" customHeight="1">
      <c r="A17" s="1"/>
      <c r="B17" s="23" t="s">
        <v>83</v>
      </c>
      <c r="C17" s="25" t="s">
        <v>84</v>
      </c>
      <c r="D17" s="23" t="s">
        <v>8</v>
      </c>
      <c r="E17" s="25" t="s">
        <v>11</v>
      </c>
      <c r="F17" s="26">
        <v>46283.0</v>
      </c>
      <c r="G17" s="26">
        <v>46285.0</v>
      </c>
      <c r="H17" s="23">
        <f t="shared" si="1"/>
        <v>3</v>
      </c>
      <c r="I17" s="25" t="s">
        <v>85</v>
      </c>
      <c r="J17" s="1"/>
      <c r="K17" s="23" t="str">
        <f t="shared" si="2"/>
        <v>Complete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1"/>
      <c r="X17" s="1"/>
      <c r="Y17" s="1"/>
      <c r="Z17" s="1"/>
    </row>
    <row r="18" ht="21.75" customHeight="1">
      <c r="A18" s="1"/>
      <c r="B18" s="16">
        <v>2.0</v>
      </c>
      <c r="C18" s="17" t="s">
        <v>86</v>
      </c>
      <c r="D18" s="16" t="s">
        <v>8</v>
      </c>
      <c r="E18" s="17"/>
      <c r="F18" s="18">
        <v>46286.0</v>
      </c>
      <c r="G18" s="18">
        <v>46299.0</v>
      </c>
      <c r="H18" s="16">
        <f t="shared" si="1"/>
        <v>14</v>
      </c>
      <c r="I18" s="17" t="s">
        <v>87</v>
      </c>
      <c r="J18" s="1"/>
      <c r="K18" s="16" t="str">
        <f t="shared" si="2"/>
        <v>Complete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"/>
      <c r="X18" s="1"/>
      <c r="Y18" s="1"/>
      <c r="Z18" s="1"/>
    </row>
    <row r="19" ht="21.75" customHeight="1">
      <c r="A19" s="1"/>
      <c r="B19" s="27">
        <v>2.1</v>
      </c>
      <c r="C19" s="28" t="s">
        <v>88</v>
      </c>
      <c r="D19" s="27" t="s">
        <v>8</v>
      </c>
      <c r="E19" s="28" t="s">
        <v>20</v>
      </c>
      <c r="F19" s="29">
        <v>46286.0</v>
      </c>
      <c r="G19" s="29">
        <v>46292.0</v>
      </c>
      <c r="H19" s="27">
        <f t="shared" si="1"/>
        <v>7</v>
      </c>
      <c r="I19" s="28" t="s">
        <v>89</v>
      </c>
      <c r="J19" s="1"/>
      <c r="K19" s="23" t="str">
        <f t="shared" si="2"/>
        <v>Complete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1"/>
      <c r="X19" s="1"/>
      <c r="Y19" s="1"/>
      <c r="Z19" s="1"/>
    </row>
    <row r="20" ht="21.75" customHeight="1">
      <c r="A20" s="1"/>
      <c r="B20" s="30" t="s">
        <v>90</v>
      </c>
      <c r="C20" s="31" t="s">
        <v>91</v>
      </c>
      <c r="D20" s="30" t="s">
        <v>8</v>
      </c>
      <c r="E20" s="31" t="s">
        <v>11</v>
      </c>
      <c r="F20" s="32">
        <v>46286.0</v>
      </c>
      <c r="G20" s="32">
        <v>46288.0</v>
      </c>
      <c r="H20" s="30">
        <f t="shared" si="1"/>
        <v>3</v>
      </c>
      <c r="I20" s="31" t="s">
        <v>92</v>
      </c>
      <c r="J20" s="1"/>
      <c r="K20" s="23" t="str">
        <f t="shared" si="2"/>
        <v>Complete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1"/>
      <c r="X20" s="1"/>
      <c r="Y20" s="1"/>
      <c r="Z20" s="1"/>
    </row>
    <row r="21" ht="21.75" customHeight="1">
      <c r="A21" s="1"/>
      <c r="B21" s="33" t="s">
        <v>93</v>
      </c>
      <c r="C21" s="34" t="s">
        <v>94</v>
      </c>
      <c r="D21" s="33" t="s">
        <v>8</v>
      </c>
      <c r="E21" s="34" t="s">
        <v>11</v>
      </c>
      <c r="F21" s="35">
        <v>46288.0</v>
      </c>
      <c r="G21" s="35">
        <v>46289.0</v>
      </c>
      <c r="H21" s="33">
        <f t="shared" si="1"/>
        <v>2</v>
      </c>
      <c r="I21" s="34" t="s">
        <v>95</v>
      </c>
      <c r="J21" s="1"/>
      <c r="K21" s="23" t="str">
        <f t="shared" si="2"/>
        <v>Complete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1"/>
      <c r="X21" s="1"/>
      <c r="Y21" s="1"/>
      <c r="Z21" s="1"/>
    </row>
    <row r="22" ht="21.75" customHeight="1">
      <c r="A22" s="1"/>
      <c r="B22" s="33" t="s">
        <v>96</v>
      </c>
      <c r="C22" s="34" t="s">
        <v>97</v>
      </c>
      <c r="D22" s="33" t="s">
        <v>8</v>
      </c>
      <c r="E22" s="34" t="s">
        <v>11</v>
      </c>
      <c r="F22" s="35">
        <v>46289.0</v>
      </c>
      <c r="G22" s="35">
        <v>46292.0</v>
      </c>
      <c r="H22" s="33">
        <f t="shared" si="1"/>
        <v>4</v>
      </c>
      <c r="I22" s="34" t="s">
        <v>98</v>
      </c>
      <c r="J22" s="1"/>
      <c r="K22" s="23" t="str">
        <f t="shared" si="2"/>
        <v>Complete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1"/>
      <c r="X22" s="1"/>
      <c r="Y22" s="1"/>
      <c r="Z22" s="1"/>
    </row>
    <row r="23" ht="21.75" customHeight="1">
      <c r="A23" s="1"/>
      <c r="B23" s="36">
        <v>2.2</v>
      </c>
      <c r="C23" s="37" t="s">
        <v>99</v>
      </c>
      <c r="D23" s="36" t="s">
        <v>8</v>
      </c>
      <c r="E23" s="37" t="s">
        <v>23</v>
      </c>
      <c r="F23" s="38">
        <v>46293.0</v>
      </c>
      <c r="G23" s="38">
        <v>46299.0</v>
      </c>
      <c r="H23" s="36">
        <f t="shared" si="1"/>
        <v>7</v>
      </c>
      <c r="I23" s="37" t="s">
        <v>100</v>
      </c>
      <c r="J23" s="1"/>
      <c r="K23" s="23" t="str">
        <f t="shared" si="2"/>
        <v>Complete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1"/>
      <c r="X23" s="1"/>
      <c r="Y23" s="1"/>
      <c r="Z23" s="1"/>
    </row>
    <row r="24" ht="21.75" customHeight="1">
      <c r="A24" s="1"/>
      <c r="B24" s="33" t="s">
        <v>101</v>
      </c>
      <c r="C24" s="34" t="s">
        <v>102</v>
      </c>
      <c r="D24" s="33" t="s">
        <v>8</v>
      </c>
      <c r="E24" s="34" t="s">
        <v>7</v>
      </c>
      <c r="F24" s="35">
        <v>46293.0</v>
      </c>
      <c r="G24" s="35">
        <v>46296.0</v>
      </c>
      <c r="H24" s="33">
        <f t="shared" si="1"/>
        <v>4</v>
      </c>
      <c r="I24" s="34" t="s">
        <v>103</v>
      </c>
      <c r="J24" s="1"/>
      <c r="K24" s="23" t="str">
        <f t="shared" si="2"/>
        <v>Complete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1"/>
      <c r="X24" s="1"/>
      <c r="Y24" s="1"/>
      <c r="Z24" s="1"/>
    </row>
    <row r="25" ht="21.75" customHeight="1">
      <c r="A25" s="1"/>
      <c r="B25" s="33" t="s">
        <v>104</v>
      </c>
      <c r="C25" s="34" t="s">
        <v>105</v>
      </c>
      <c r="D25" s="33" t="s">
        <v>8</v>
      </c>
      <c r="E25" s="34" t="s">
        <v>9</v>
      </c>
      <c r="F25" s="35">
        <v>46296.0</v>
      </c>
      <c r="G25" s="35">
        <v>46299.0</v>
      </c>
      <c r="H25" s="33">
        <f t="shared" si="1"/>
        <v>4</v>
      </c>
      <c r="I25" s="34" t="s">
        <v>106</v>
      </c>
      <c r="J25" s="1"/>
      <c r="K25" s="23" t="str">
        <f t="shared" si="2"/>
        <v>Complete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1"/>
      <c r="X25" s="1"/>
      <c r="Y25" s="1"/>
      <c r="Z25" s="1"/>
    </row>
    <row r="26" ht="21.75" customHeight="1">
      <c r="A26" s="1"/>
      <c r="B26" s="16">
        <v>3.0</v>
      </c>
      <c r="C26" s="17" t="s">
        <v>107</v>
      </c>
      <c r="D26" s="16" t="s">
        <v>6</v>
      </c>
      <c r="E26" s="17"/>
      <c r="F26" s="18">
        <v>46295.0</v>
      </c>
      <c r="G26" s="18">
        <v>46312.0</v>
      </c>
      <c r="H26" s="16">
        <f t="shared" si="1"/>
        <v>18</v>
      </c>
      <c r="I26" s="17" t="s">
        <v>108</v>
      </c>
      <c r="J26" s="1"/>
      <c r="K26" s="16" t="str">
        <f t="shared" si="2"/>
        <v>In Progress</v>
      </c>
      <c r="L26" s="19"/>
      <c r="M26" s="19"/>
      <c r="N26" s="19"/>
      <c r="O26" s="39"/>
      <c r="P26" s="39"/>
      <c r="Q26" s="19"/>
      <c r="R26" s="19"/>
      <c r="S26" s="19"/>
      <c r="T26" s="19"/>
      <c r="U26" s="19"/>
      <c r="V26" s="19"/>
      <c r="W26" s="1"/>
      <c r="X26" s="1"/>
      <c r="Y26" s="1"/>
      <c r="Z26" s="1"/>
    </row>
    <row r="27" ht="21.75" customHeight="1">
      <c r="A27" s="1"/>
      <c r="B27" s="36">
        <v>3.1</v>
      </c>
      <c r="C27" s="37" t="s">
        <v>109</v>
      </c>
      <c r="D27" s="36" t="s">
        <v>8</v>
      </c>
      <c r="E27" s="37" t="s">
        <v>7</v>
      </c>
      <c r="F27" s="38">
        <v>46295.0</v>
      </c>
      <c r="G27" s="38">
        <v>46306.0</v>
      </c>
      <c r="H27" s="36">
        <f t="shared" si="1"/>
        <v>12</v>
      </c>
      <c r="I27" s="37" t="s">
        <v>110</v>
      </c>
      <c r="J27" s="1"/>
      <c r="K27" s="23" t="str">
        <f t="shared" si="2"/>
        <v>Complete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1"/>
      <c r="X27" s="1"/>
      <c r="Y27" s="1"/>
      <c r="Z27" s="1"/>
    </row>
    <row r="28" ht="21.75" customHeight="1">
      <c r="A28" s="1"/>
      <c r="B28" s="33" t="s">
        <v>111</v>
      </c>
      <c r="C28" s="34" t="s">
        <v>112</v>
      </c>
      <c r="D28" s="33" t="s">
        <v>8</v>
      </c>
      <c r="E28" s="34" t="s">
        <v>7</v>
      </c>
      <c r="F28" s="35">
        <v>46295.0</v>
      </c>
      <c r="G28" s="35">
        <v>46299.0</v>
      </c>
      <c r="H28" s="33">
        <f t="shared" si="1"/>
        <v>5</v>
      </c>
      <c r="I28" s="34" t="s">
        <v>113</v>
      </c>
      <c r="J28" s="1"/>
      <c r="K28" s="23" t="str">
        <f t="shared" si="2"/>
        <v>Complete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1"/>
      <c r="X28" s="1"/>
      <c r="Y28" s="1"/>
      <c r="Z28" s="1"/>
    </row>
    <row r="29" ht="21.75" customHeight="1">
      <c r="A29" s="1"/>
      <c r="B29" s="33" t="s">
        <v>114</v>
      </c>
      <c r="C29" s="34" t="s">
        <v>115</v>
      </c>
      <c r="D29" s="33" t="s">
        <v>8</v>
      </c>
      <c r="E29" s="34" t="s">
        <v>7</v>
      </c>
      <c r="F29" s="35">
        <v>46300.0</v>
      </c>
      <c r="G29" s="35">
        <v>46302.0</v>
      </c>
      <c r="H29" s="33">
        <f t="shared" si="1"/>
        <v>3</v>
      </c>
      <c r="I29" s="34" t="s">
        <v>116</v>
      </c>
      <c r="J29" s="1"/>
      <c r="K29" s="23" t="str">
        <f t="shared" si="2"/>
        <v>Complete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1"/>
      <c r="X29" s="1"/>
      <c r="Y29" s="1"/>
      <c r="Z29" s="1"/>
    </row>
    <row r="30" ht="21.75" customHeight="1">
      <c r="A30" s="1"/>
      <c r="B30" s="33" t="s">
        <v>117</v>
      </c>
      <c r="C30" s="34" t="s">
        <v>118</v>
      </c>
      <c r="D30" s="33" t="s">
        <v>8</v>
      </c>
      <c r="E30" s="34" t="s">
        <v>7</v>
      </c>
      <c r="F30" s="35">
        <v>46303.0</v>
      </c>
      <c r="G30" s="35">
        <v>46306.0</v>
      </c>
      <c r="H30" s="33">
        <f t="shared" si="1"/>
        <v>4</v>
      </c>
      <c r="I30" s="34" t="s">
        <v>119</v>
      </c>
      <c r="J30" s="1"/>
      <c r="K30" s="23" t="str">
        <f t="shared" si="2"/>
        <v>Complete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1"/>
      <c r="X30" s="1"/>
      <c r="Y30" s="1"/>
      <c r="Z30" s="1"/>
    </row>
    <row r="31" ht="21.75" customHeight="1">
      <c r="A31" s="1"/>
      <c r="B31" s="36">
        <v>3.2</v>
      </c>
      <c r="C31" s="37" t="s">
        <v>120</v>
      </c>
      <c r="D31" s="36" t="s">
        <v>6</v>
      </c>
      <c r="E31" s="37" t="s">
        <v>7</v>
      </c>
      <c r="F31" s="38">
        <v>46307.0</v>
      </c>
      <c r="G31" s="38">
        <v>46312.0</v>
      </c>
      <c r="H31" s="36">
        <f t="shared" si="1"/>
        <v>6</v>
      </c>
      <c r="I31" s="37" t="s">
        <v>121</v>
      </c>
      <c r="J31" s="1"/>
      <c r="K31" s="33" t="str">
        <f t="shared" si="2"/>
        <v>In Progress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1"/>
      <c r="X31" s="1"/>
      <c r="Y31" s="1"/>
      <c r="Z31" s="1"/>
    </row>
    <row r="32" ht="21.75" customHeight="1">
      <c r="A32" s="1"/>
      <c r="B32" s="33" t="s">
        <v>122</v>
      </c>
      <c r="C32" s="34" t="s">
        <v>123</v>
      </c>
      <c r="D32" s="33" t="s">
        <v>6</v>
      </c>
      <c r="E32" s="34" t="s">
        <v>7</v>
      </c>
      <c r="F32" s="35">
        <v>46307.0</v>
      </c>
      <c r="G32" s="35">
        <v>46308.0</v>
      </c>
      <c r="H32" s="33">
        <f t="shared" si="1"/>
        <v>2</v>
      </c>
      <c r="I32" s="34" t="s">
        <v>124</v>
      </c>
      <c r="J32" s="1"/>
      <c r="K32" s="33" t="str">
        <f t="shared" si="2"/>
        <v>In Progress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1"/>
      <c r="X32" s="1"/>
      <c r="Y32" s="1"/>
      <c r="Z32" s="1"/>
    </row>
    <row r="33" ht="21.75" customHeight="1">
      <c r="A33" s="1"/>
      <c r="B33" s="33" t="s">
        <v>125</v>
      </c>
      <c r="C33" s="34" t="s">
        <v>126</v>
      </c>
      <c r="D33" s="33" t="s">
        <v>6</v>
      </c>
      <c r="E33" s="34" t="s">
        <v>7</v>
      </c>
      <c r="F33" s="35">
        <v>46309.0</v>
      </c>
      <c r="G33" s="35">
        <v>46310.0</v>
      </c>
      <c r="H33" s="33">
        <f t="shared" si="1"/>
        <v>2</v>
      </c>
      <c r="I33" s="34" t="s">
        <v>127</v>
      </c>
      <c r="J33" s="1"/>
      <c r="K33" s="33" t="str">
        <f t="shared" si="2"/>
        <v>In Progress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1"/>
      <c r="X33" s="1"/>
      <c r="Y33" s="1"/>
      <c r="Z33" s="1"/>
    </row>
    <row r="34" ht="21.75" customHeight="1">
      <c r="A34" s="1"/>
      <c r="B34" s="33" t="s">
        <v>128</v>
      </c>
      <c r="C34" s="34" t="s">
        <v>129</v>
      </c>
      <c r="D34" s="33" t="s">
        <v>6</v>
      </c>
      <c r="E34" s="34" t="s">
        <v>7</v>
      </c>
      <c r="F34" s="35">
        <v>46311.0</v>
      </c>
      <c r="G34" s="35">
        <v>46312.0</v>
      </c>
      <c r="H34" s="33">
        <f t="shared" si="1"/>
        <v>2</v>
      </c>
      <c r="I34" s="34" t="s">
        <v>130</v>
      </c>
      <c r="J34" s="1"/>
      <c r="K34" s="33" t="str">
        <f t="shared" si="2"/>
        <v>In Progress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1"/>
      <c r="X34" s="1"/>
      <c r="Y34" s="1"/>
      <c r="Z34" s="1"/>
    </row>
    <row r="35" ht="21.75" customHeight="1">
      <c r="A35" s="1"/>
      <c r="B35" s="16">
        <v>4.0</v>
      </c>
      <c r="C35" s="17" t="s">
        <v>131</v>
      </c>
      <c r="D35" s="16" t="s">
        <v>6</v>
      </c>
      <c r="E35" s="17"/>
      <c r="F35" s="18">
        <v>46313.0</v>
      </c>
      <c r="G35" s="18">
        <v>46320.0</v>
      </c>
      <c r="H35" s="16">
        <f t="shared" si="1"/>
        <v>8</v>
      </c>
      <c r="I35" s="17" t="s">
        <v>132</v>
      </c>
      <c r="J35" s="1"/>
      <c r="K35" s="16" t="str">
        <f t="shared" si="2"/>
        <v>In Progress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"/>
      <c r="X35" s="1"/>
      <c r="Y35" s="1"/>
      <c r="Z35" s="1"/>
    </row>
    <row r="36" ht="21.75" customHeight="1">
      <c r="A36" s="1"/>
      <c r="B36" s="36">
        <v>4.1</v>
      </c>
      <c r="C36" s="37" t="s">
        <v>133</v>
      </c>
      <c r="D36" s="36" t="s">
        <v>6</v>
      </c>
      <c r="E36" s="37" t="s">
        <v>7</v>
      </c>
      <c r="F36" s="38">
        <v>46313.0</v>
      </c>
      <c r="G36" s="38">
        <v>46317.0</v>
      </c>
      <c r="H36" s="36">
        <f t="shared" si="1"/>
        <v>5</v>
      </c>
      <c r="I36" s="37" t="s">
        <v>134</v>
      </c>
      <c r="J36" s="1"/>
      <c r="K36" s="33" t="str">
        <f t="shared" si="2"/>
        <v>In Progress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1"/>
      <c r="X36" s="1"/>
      <c r="Y36" s="1"/>
      <c r="Z36" s="1"/>
    </row>
    <row r="37" ht="21.75" customHeight="1">
      <c r="A37" s="1"/>
      <c r="B37" s="33" t="s">
        <v>135</v>
      </c>
      <c r="C37" s="34" t="s">
        <v>136</v>
      </c>
      <c r="D37" s="33" t="s">
        <v>6</v>
      </c>
      <c r="E37" s="34" t="s">
        <v>7</v>
      </c>
      <c r="F37" s="35">
        <v>46313.0</v>
      </c>
      <c r="G37" s="35">
        <v>46314.0</v>
      </c>
      <c r="H37" s="33">
        <f t="shared" si="1"/>
        <v>2</v>
      </c>
      <c r="I37" s="34" t="s">
        <v>137</v>
      </c>
      <c r="J37" s="1"/>
      <c r="K37" s="33" t="str">
        <f t="shared" si="2"/>
        <v>In Progress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1"/>
      <c r="X37" s="1"/>
      <c r="Y37" s="1"/>
      <c r="Z37" s="1"/>
    </row>
    <row r="38" ht="21.75" customHeight="1">
      <c r="A38" s="1"/>
      <c r="B38" s="33" t="s">
        <v>138</v>
      </c>
      <c r="C38" s="34" t="s">
        <v>139</v>
      </c>
      <c r="D38" s="33" t="s">
        <v>4</v>
      </c>
      <c r="E38" s="34" t="s">
        <v>7</v>
      </c>
      <c r="F38" s="35">
        <v>46315.0</v>
      </c>
      <c r="G38" s="35">
        <v>46316.0</v>
      </c>
      <c r="H38" s="33">
        <f t="shared" si="1"/>
        <v>2</v>
      </c>
      <c r="I38" s="34" t="s">
        <v>140</v>
      </c>
      <c r="J38" s="1"/>
      <c r="K38" s="33" t="str">
        <f t="shared" si="2"/>
        <v>Not Started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1"/>
      <c r="X38" s="1"/>
      <c r="Y38" s="1"/>
      <c r="Z38" s="1"/>
    </row>
    <row r="39" ht="21.75" customHeight="1">
      <c r="A39" s="1"/>
      <c r="B39" s="33" t="s">
        <v>141</v>
      </c>
      <c r="C39" s="34" t="s">
        <v>142</v>
      </c>
      <c r="D39" s="33" t="s">
        <v>4</v>
      </c>
      <c r="E39" s="34" t="s">
        <v>7</v>
      </c>
      <c r="F39" s="35">
        <v>46316.0</v>
      </c>
      <c r="G39" s="35">
        <v>46317.0</v>
      </c>
      <c r="H39" s="33">
        <f t="shared" si="1"/>
        <v>2</v>
      </c>
      <c r="I39" s="34" t="s">
        <v>143</v>
      </c>
      <c r="J39" s="1"/>
      <c r="K39" s="33" t="str">
        <f t="shared" si="2"/>
        <v>Not Started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1"/>
      <c r="X39" s="1"/>
      <c r="Y39" s="1"/>
      <c r="Z39" s="1"/>
    </row>
    <row r="40" ht="21.75" customHeight="1">
      <c r="A40" s="1"/>
      <c r="B40" s="36">
        <v>4.2</v>
      </c>
      <c r="C40" s="37" t="s">
        <v>144</v>
      </c>
      <c r="D40" s="36" t="s">
        <v>4</v>
      </c>
      <c r="E40" s="37" t="s">
        <v>7</v>
      </c>
      <c r="F40" s="38">
        <v>46317.0</v>
      </c>
      <c r="G40" s="38">
        <v>46320.0</v>
      </c>
      <c r="H40" s="36">
        <f t="shared" si="1"/>
        <v>4</v>
      </c>
      <c r="I40" s="37" t="s">
        <v>145</v>
      </c>
      <c r="J40" s="1"/>
      <c r="K40" s="33" t="str">
        <f t="shared" si="2"/>
        <v>Not Started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1"/>
      <c r="X40" s="1"/>
      <c r="Y40" s="1"/>
      <c r="Z40" s="1"/>
    </row>
    <row r="41" ht="21.75" customHeight="1">
      <c r="A41" s="1"/>
      <c r="B41" s="33" t="s">
        <v>146</v>
      </c>
      <c r="C41" s="34" t="s">
        <v>147</v>
      </c>
      <c r="D41" s="33" t="s">
        <v>4</v>
      </c>
      <c r="E41" s="34" t="s">
        <v>7</v>
      </c>
      <c r="F41" s="35">
        <v>46317.0</v>
      </c>
      <c r="G41" s="35">
        <v>46318.0</v>
      </c>
      <c r="H41" s="33">
        <f t="shared" si="1"/>
        <v>2</v>
      </c>
      <c r="I41" s="34" t="s">
        <v>148</v>
      </c>
      <c r="J41" s="1"/>
      <c r="K41" s="33" t="str">
        <f t="shared" si="2"/>
        <v>Not Started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1"/>
      <c r="X41" s="1"/>
      <c r="Y41" s="1"/>
      <c r="Z41" s="1"/>
    </row>
    <row r="42" ht="21.75" customHeight="1">
      <c r="A42" s="1"/>
      <c r="B42" s="33" t="s">
        <v>149</v>
      </c>
      <c r="C42" s="34" t="s">
        <v>150</v>
      </c>
      <c r="D42" s="33" t="s">
        <v>4</v>
      </c>
      <c r="E42" s="34" t="s">
        <v>7</v>
      </c>
      <c r="F42" s="35">
        <v>46318.0</v>
      </c>
      <c r="G42" s="35">
        <v>46319.0</v>
      </c>
      <c r="H42" s="33">
        <f t="shared" si="1"/>
        <v>2</v>
      </c>
      <c r="I42" s="34" t="s">
        <v>151</v>
      </c>
      <c r="J42" s="1"/>
      <c r="K42" s="33" t="str">
        <f t="shared" si="2"/>
        <v>Not Started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1"/>
      <c r="X42" s="1"/>
      <c r="Y42" s="1"/>
      <c r="Z42" s="1"/>
    </row>
    <row r="43" ht="21.75" customHeight="1">
      <c r="A43" s="1"/>
      <c r="B43" s="33" t="s">
        <v>152</v>
      </c>
      <c r="C43" s="34" t="s">
        <v>153</v>
      </c>
      <c r="D43" s="33" t="s">
        <v>4</v>
      </c>
      <c r="E43" s="34" t="s">
        <v>7</v>
      </c>
      <c r="F43" s="35">
        <v>46319.0</v>
      </c>
      <c r="G43" s="35">
        <v>46320.0</v>
      </c>
      <c r="H43" s="33">
        <f t="shared" si="1"/>
        <v>2</v>
      </c>
      <c r="I43" s="34" t="s">
        <v>154</v>
      </c>
      <c r="J43" s="1"/>
      <c r="K43" s="33" t="str">
        <f t="shared" si="2"/>
        <v>Not Started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1"/>
      <c r="X43" s="1"/>
      <c r="Y43" s="1"/>
      <c r="Z43" s="1"/>
    </row>
    <row r="44" ht="21.75" customHeight="1">
      <c r="A44" s="1"/>
      <c r="B44" s="16">
        <v>5.0</v>
      </c>
      <c r="C44" s="17" t="s">
        <v>155</v>
      </c>
      <c r="D44" s="16" t="s">
        <v>4</v>
      </c>
      <c r="E44" s="17"/>
      <c r="F44" s="18">
        <v>46321.0</v>
      </c>
      <c r="G44" s="18">
        <v>46334.0</v>
      </c>
      <c r="H44" s="16">
        <f t="shared" si="1"/>
        <v>14</v>
      </c>
      <c r="I44" s="17" t="s">
        <v>156</v>
      </c>
      <c r="J44" s="1"/>
      <c r="K44" s="16" t="str">
        <f t="shared" si="2"/>
        <v>Not Started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"/>
      <c r="X44" s="1"/>
      <c r="Y44" s="1"/>
      <c r="Z44" s="1"/>
    </row>
    <row r="45" ht="21.75" customHeight="1">
      <c r="A45" s="1"/>
      <c r="B45" s="36">
        <v>5.1</v>
      </c>
      <c r="C45" s="37" t="s">
        <v>157</v>
      </c>
      <c r="D45" s="36" t="s">
        <v>4</v>
      </c>
      <c r="E45" s="37" t="s">
        <v>17</v>
      </c>
      <c r="F45" s="38">
        <v>46321.0</v>
      </c>
      <c r="G45" s="38">
        <v>46327.0</v>
      </c>
      <c r="H45" s="36">
        <f t="shared" si="1"/>
        <v>7</v>
      </c>
      <c r="I45" s="37" t="s">
        <v>158</v>
      </c>
      <c r="J45" s="1"/>
      <c r="K45" s="33" t="str">
        <f t="shared" si="2"/>
        <v>Not Started</v>
      </c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1"/>
      <c r="X45" s="1"/>
      <c r="Y45" s="1"/>
      <c r="Z45" s="1"/>
    </row>
    <row r="46" ht="21.75" customHeight="1">
      <c r="A46" s="1"/>
      <c r="B46" s="33" t="s">
        <v>159</v>
      </c>
      <c r="C46" s="34" t="s">
        <v>160</v>
      </c>
      <c r="D46" s="33" t="s">
        <v>4</v>
      </c>
      <c r="E46" s="34" t="s">
        <v>17</v>
      </c>
      <c r="F46" s="35">
        <v>46321.0</v>
      </c>
      <c r="G46" s="35">
        <v>46322.0</v>
      </c>
      <c r="H46" s="33">
        <f t="shared" si="1"/>
        <v>2</v>
      </c>
      <c r="I46" s="34" t="s">
        <v>161</v>
      </c>
      <c r="J46" s="1"/>
      <c r="K46" s="33" t="str">
        <f t="shared" si="2"/>
        <v>Not Started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1"/>
      <c r="X46" s="1"/>
      <c r="Y46" s="1"/>
      <c r="Z46" s="1"/>
    </row>
    <row r="47" ht="21.75" customHeight="1">
      <c r="A47" s="1"/>
      <c r="B47" s="33" t="s">
        <v>162</v>
      </c>
      <c r="C47" s="34" t="s">
        <v>163</v>
      </c>
      <c r="D47" s="33" t="s">
        <v>4</v>
      </c>
      <c r="E47" s="34" t="s">
        <v>12</v>
      </c>
      <c r="F47" s="35">
        <v>46323.0</v>
      </c>
      <c r="G47" s="35">
        <v>46325.0</v>
      </c>
      <c r="H47" s="33">
        <f t="shared" si="1"/>
        <v>3</v>
      </c>
      <c r="I47" s="34" t="s">
        <v>164</v>
      </c>
      <c r="J47" s="1"/>
      <c r="K47" s="33" t="str">
        <f t="shared" si="2"/>
        <v>Not Started</v>
      </c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1"/>
      <c r="X47" s="1"/>
      <c r="Y47" s="1"/>
      <c r="Z47" s="1"/>
    </row>
    <row r="48" ht="21.75" customHeight="1">
      <c r="A48" s="1"/>
      <c r="B48" s="33" t="s">
        <v>165</v>
      </c>
      <c r="C48" s="34" t="s">
        <v>166</v>
      </c>
      <c r="D48" s="33" t="s">
        <v>4</v>
      </c>
      <c r="E48" s="34" t="s">
        <v>17</v>
      </c>
      <c r="F48" s="35">
        <v>46326.0</v>
      </c>
      <c r="G48" s="35">
        <v>46327.0</v>
      </c>
      <c r="H48" s="33">
        <f t="shared" si="1"/>
        <v>2</v>
      </c>
      <c r="I48" s="34" t="s">
        <v>167</v>
      </c>
      <c r="J48" s="1"/>
      <c r="K48" s="33" t="str">
        <f t="shared" si="2"/>
        <v>Not Started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1"/>
      <c r="X48" s="1"/>
      <c r="Y48" s="1"/>
      <c r="Z48" s="1"/>
    </row>
    <row r="49" ht="21.75" customHeight="1">
      <c r="A49" s="1"/>
      <c r="B49" s="36">
        <v>5.2</v>
      </c>
      <c r="C49" s="37" t="s">
        <v>168</v>
      </c>
      <c r="D49" s="36" t="s">
        <v>4</v>
      </c>
      <c r="E49" s="37" t="s">
        <v>19</v>
      </c>
      <c r="F49" s="38">
        <v>46328.0</v>
      </c>
      <c r="G49" s="38">
        <v>46334.0</v>
      </c>
      <c r="H49" s="36">
        <f t="shared" si="1"/>
        <v>7</v>
      </c>
      <c r="I49" s="37" t="s">
        <v>169</v>
      </c>
      <c r="J49" s="1"/>
      <c r="K49" s="33" t="str">
        <f t="shared" si="2"/>
        <v>Not Started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1"/>
      <c r="X49" s="1"/>
      <c r="Y49" s="1"/>
      <c r="Z49" s="1"/>
    </row>
    <row r="50" ht="21.75" customHeight="1">
      <c r="A50" s="1"/>
      <c r="B50" s="33" t="s">
        <v>170</v>
      </c>
      <c r="C50" s="34" t="s">
        <v>171</v>
      </c>
      <c r="D50" s="33" t="s">
        <v>4</v>
      </c>
      <c r="E50" s="34" t="s">
        <v>24</v>
      </c>
      <c r="F50" s="35">
        <v>46328.0</v>
      </c>
      <c r="G50" s="35">
        <v>46330.0</v>
      </c>
      <c r="H50" s="33">
        <f t="shared" si="1"/>
        <v>3</v>
      </c>
      <c r="I50" s="34" t="s">
        <v>172</v>
      </c>
      <c r="J50" s="1"/>
      <c r="K50" s="33" t="str">
        <f t="shared" si="2"/>
        <v>Not Started</v>
      </c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1"/>
      <c r="X50" s="1"/>
      <c r="Y50" s="1"/>
      <c r="Z50" s="1"/>
    </row>
    <row r="51" ht="21.75" customHeight="1">
      <c r="A51" s="1"/>
      <c r="B51" s="33" t="s">
        <v>173</v>
      </c>
      <c r="C51" s="34" t="s">
        <v>174</v>
      </c>
      <c r="D51" s="33" t="s">
        <v>4</v>
      </c>
      <c r="E51" s="34" t="s">
        <v>11</v>
      </c>
      <c r="F51" s="35">
        <v>46331.0</v>
      </c>
      <c r="G51" s="35">
        <v>46332.0</v>
      </c>
      <c r="H51" s="33">
        <f t="shared" si="1"/>
        <v>2</v>
      </c>
      <c r="I51" s="34" t="s">
        <v>175</v>
      </c>
      <c r="J51" s="1"/>
      <c r="K51" s="33" t="str">
        <f t="shared" si="2"/>
        <v>Not Started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1"/>
      <c r="X51" s="1"/>
      <c r="Y51" s="1"/>
      <c r="Z51" s="1"/>
    </row>
    <row r="52" ht="21.75" customHeight="1">
      <c r="A52" s="1"/>
      <c r="B52" s="33" t="s">
        <v>176</v>
      </c>
      <c r="C52" s="34" t="s">
        <v>177</v>
      </c>
      <c r="D52" s="33" t="s">
        <v>4</v>
      </c>
      <c r="E52" s="34" t="s">
        <v>10</v>
      </c>
      <c r="F52" s="35">
        <v>46333.0</v>
      </c>
      <c r="G52" s="35">
        <v>46334.0</v>
      </c>
      <c r="H52" s="33">
        <f t="shared" si="1"/>
        <v>2</v>
      </c>
      <c r="I52" s="34" t="s">
        <v>178</v>
      </c>
      <c r="J52" s="1"/>
      <c r="K52" s="33" t="str">
        <f t="shared" si="2"/>
        <v>Not Started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1"/>
      <c r="X52" s="1"/>
      <c r="Y52" s="1"/>
      <c r="Z52" s="1"/>
    </row>
    <row r="53" ht="21.75" customHeight="1">
      <c r="A53" s="1"/>
      <c r="B53" s="16">
        <v>6.0</v>
      </c>
      <c r="C53" s="17" t="s">
        <v>179</v>
      </c>
      <c r="D53" s="16" t="s">
        <v>4</v>
      </c>
      <c r="E53" s="17"/>
      <c r="F53" s="18">
        <v>46335.0</v>
      </c>
      <c r="G53" s="18">
        <v>46348.0</v>
      </c>
      <c r="H53" s="16">
        <f t="shared" si="1"/>
        <v>14</v>
      </c>
      <c r="I53" s="17" t="s">
        <v>180</v>
      </c>
      <c r="J53" s="1"/>
      <c r="K53" s="16" t="str">
        <f t="shared" si="2"/>
        <v>Not Started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"/>
      <c r="X53" s="1"/>
      <c r="Y53" s="1"/>
      <c r="Z53" s="1"/>
    </row>
    <row r="54" ht="21.75" customHeight="1">
      <c r="A54" s="1"/>
      <c r="B54" s="36">
        <v>6.1</v>
      </c>
      <c r="C54" s="37" t="s">
        <v>181</v>
      </c>
      <c r="D54" s="36" t="s">
        <v>4</v>
      </c>
      <c r="E54" s="37" t="s">
        <v>15</v>
      </c>
      <c r="F54" s="38">
        <v>46335.0</v>
      </c>
      <c r="G54" s="38">
        <v>46345.0</v>
      </c>
      <c r="H54" s="36">
        <f t="shared" si="1"/>
        <v>11</v>
      </c>
      <c r="I54" s="37" t="s">
        <v>182</v>
      </c>
      <c r="J54" s="1"/>
      <c r="K54" s="33" t="str">
        <f t="shared" si="2"/>
        <v>Not Started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1"/>
      <c r="X54" s="1"/>
      <c r="Y54" s="1"/>
      <c r="Z54" s="1"/>
    </row>
    <row r="55" ht="21.75" customHeight="1">
      <c r="A55" s="1"/>
      <c r="B55" s="33" t="s">
        <v>183</v>
      </c>
      <c r="C55" s="34" t="s">
        <v>184</v>
      </c>
      <c r="D55" s="33" t="s">
        <v>4</v>
      </c>
      <c r="E55" s="34" t="s">
        <v>7</v>
      </c>
      <c r="F55" s="35">
        <v>46335.0</v>
      </c>
      <c r="G55" s="35">
        <v>46339.0</v>
      </c>
      <c r="H55" s="33">
        <f t="shared" si="1"/>
        <v>5</v>
      </c>
      <c r="I55" s="34" t="s">
        <v>185</v>
      </c>
      <c r="J55" s="1"/>
      <c r="K55" s="33" t="str">
        <f t="shared" si="2"/>
        <v>Not Started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1"/>
      <c r="X55" s="1"/>
      <c r="Y55" s="1"/>
      <c r="Z55" s="1"/>
    </row>
    <row r="56" ht="21.75" customHeight="1">
      <c r="A56" s="1"/>
      <c r="B56" s="33" t="s">
        <v>186</v>
      </c>
      <c r="C56" s="34" t="s">
        <v>187</v>
      </c>
      <c r="D56" s="33" t="s">
        <v>4</v>
      </c>
      <c r="E56" s="34" t="s">
        <v>17</v>
      </c>
      <c r="F56" s="35">
        <v>46340.0</v>
      </c>
      <c r="G56" s="35">
        <v>46342.0</v>
      </c>
      <c r="H56" s="33">
        <f t="shared" si="1"/>
        <v>3</v>
      </c>
      <c r="I56" s="34" t="s">
        <v>188</v>
      </c>
      <c r="J56" s="1"/>
      <c r="K56" s="33" t="str">
        <f t="shared" si="2"/>
        <v>Not Started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1"/>
      <c r="X56" s="1"/>
      <c r="Y56" s="1"/>
      <c r="Z56" s="1"/>
    </row>
    <row r="57" ht="21.75" customHeight="1">
      <c r="A57" s="1"/>
      <c r="B57" s="33" t="s">
        <v>189</v>
      </c>
      <c r="C57" s="34" t="s">
        <v>190</v>
      </c>
      <c r="D57" s="33" t="s">
        <v>4</v>
      </c>
      <c r="E57" s="34" t="s">
        <v>7</v>
      </c>
      <c r="F57" s="35">
        <v>46343.0</v>
      </c>
      <c r="G57" s="35">
        <v>46345.0</v>
      </c>
      <c r="H57" s="33">
        <f t="shared" si="1"/>
        <v>3</v>
      </c>
      <c r="I57" s="34" t="s">
        <v>191</v>
      </c>
      <c r="J57" s="1"/>
      <c r="K57" s="33" t="str">
        <f t="shared" si="2"/>
        <v>Not Started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1"/>
      <c r="X57" s="1"/>
      <c r="Y57" s="1"/>
      <c r="Z57" s="1"/>
    </row>
    <row r="58" ht="21.75" customHeight="1">
      <c r="A58" s="1"/>
      <c r="B58" s="36">
        <v>6.2</v>
      </c>
      <c r="C58" s="37" t="s">
        <v>192</v>
      </c>
      <c r="D58" s="36" t="s">
        <v>4</v>
      </c>
      <c r="E58" s="37" t="s">
        <v>14</v>
      </c>
      <c r="F58" s="38">
        <v>46345.0</v>
      </c>
      <c r="G58" s="38">
        <v>46348.0</v>
      </c>
      <c r="H58" s="36">
        <f t="shared" si="1"/>
        <v>4</v>
      </c>
      <c r="I58" s="37" t="s">
        <v>193</v>
      </c>
      <c r="J58" s="1"/>
      <c r="K58" s="33" t="str">
        <f t="shared" si="2"/>
        <v>Not Started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1"/>
      <c r="X58" s="1"/>
      <c r="Y58" s="1"/>
      <c r="Z58" s="1"/>
    </row>
    <row r="59" ht="21.75" customHeight="1">
      <c r="A59" s="1"/>
      <c r="B59" s="33" t="s">
        <v>194</v>
      </c>
      <c r="C59" s="34" t="s">
        <v>195</v>
      </c>
      <c r="D59" s="33" t="s">
        <v>4</v>
      </c>
      <c r="E59" s="34" t="s">
        <v>11</v>
      </c>
      <c r="F59" s="35">
        <v>46345.0</v>
      </c>
      <c r="G59" s="35">
        <v>46346.0</v>
      </c>
      <c r="H59" s="33">
        <f t="shared" si="1"/>
        <v>2</v>
      </c>
      <c r="I59" s="34" t="s">
        <v>196</v>
      </c>
      <c r="J59" s="1"/>
      <c r="K59" s="33" t="str">
        <f t="shared" si="2"/>
        <v>Not Started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1"/>
      <c r="X59" s="1"/>
      <c r="Y59" s="1"/>
      <c r="Z59" s="1"/>
    </row>
    <row r="60" ht="21.75" customHeight="1">
      <c r="A60" s="1"/>
      <c r="B60" s="33" t="s">
        <v>197</v>
      </c>
      <c r="C60" s="34" t="s">
        <v>198</v>
      </c>
      <c r="D60" s="33" t="s">
        <v>4</v>
      </c>
      <c r="E60" s="34" t="s">
        <v>13</v>
      </c>
      <c r="F60" s="35">
        <v>46347.0</v>
      </c>
      <c r="G60" s="35">
        <v>46348.0</v>
      </c>
      <c r="H60" s="33">
        <f t="shared" si="1"/>
        <v>2</v>
      </c>
      <c r="I60" s="34" t="s">
        <v>199</v>
      </c>
      <c r="J60" s="1"/>
      <c r="K60" s="33" t="str">
        <f t="shared" si="2"/>
        <v>Not Started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V1"/>
  </mergeCells>
  <conditionalFormatting sqref="L8:V60">
    <cfRule type="expression" dxfId="0" priority="1">
      <formula>AND($F8&lt;=$I$2+7*(COLUMN()-12)+6,$G8&gt;=$I$2+7*(COLUMN()-12),$D8="Complete")</formula>
    </cfRule>
  </conditionalFormatting>
  <conditionalFormatting sqref="L8:V60">
    <cfRule type="expression" dxfId="1" priority="2">
      <formula>AND($F8&lt;=$I$2+7*(COLUMN()-12)+6,$G8&gt;=$I$2+7*(COLUMN()-12),$D8="In Progress")</formula>
    </cfRule>
  </conditionalFormatting>
  <conditionalFormatting sqref="L8:V60">
    <cfRule type="expression" dxfId="2" priority="3">
      <formula>AND($F8&lt;=$I$2+7*(COLUMN()-12)+6,$G8&gt;=$I$2+7*(COLUMN()-12),$D8="Not Started")</formula>
    </cfRule>
  </conditionalFormatting>
  <conditionalFormatting sqref="B9:I9">
    <cfRule type="expression" dxfId="3" priority="4">
      <formula>$D9="Complete"</formula>
    </cfRule>
  </conditionalFormatting>
  <conditionalFormatting sqref="B9:I9">
    <cfRule type="expression" dxfId="4" priority="5">
      <formula>$D9="In Progress"</formula>
    </cfRule>
  </conditionalFormatting>
  <conditionalFormatting sqref="B9:I9">
    <cfRule type="expression" dxfId="5" priority="6">
      <formula>$D9="Not Started"</formula>
    </cfRule>
  </conditionalFormatting>
  <conditionalFormatting sqref="K9">
    <cfRule type="expression" dxfId="3" priority="7">
      <formula>$D9="Complete"</formula>
    </cfRule>
  </conditionalFormatting>
  <conditionalFormatting sqref="K9">
    <cfRule type="expression" dxfId="4" priority="8">
      <formula>$D9="In Progress"</formula>
    </cfRule>
  </conditionalFormatting>
  <conditionalFormatting sqref="K9">
    <cfRule type="expression" dxfId="5" priority="9">
      <formula>$D9="Not Started"</formula>
    </cfRule>
  </conditionalFormatting>
  <conditionalFormatting sqref="B10:I10">
    <cfRule type="expression" dxfId="3" priority="10">
      <formula>$D10="Complete"</formula>
    </cfRule>
  </conditionalFormatting>
  <conditionalFormatting sqref="B10:I10">
    <cfRule type="expression" dxfId="4" priority="11">
      <formula>$D10="In Progress"</formula>
    </cfRule>
  </conditionalFormatting>
  <conditionalFormatting sqref="B10:I10">
    <cfRule type="expression" dxfId="5" priority="12">
      <formula>$D10="Not Started"</formula>
    </cfRule>
  </conditionalFormatting>
  <conditionalFormatting sqref="K10">
    <cfRule type="expression" dxfId="3" priority="13">
      <formula>$D10="Complete"</formula>
    </cfRule>
  </conditionalFormatting>
  <conditionalFormatting sqref="K10">
    <cfRule type="expression" dxfId="4" priority="14">
      <formula>$D10="In Progress"</formula>
    </cfRule>
  </conditionalFormatting>
  <conditionalFormatting sqref="K10">
    <cfRule type="expression" dxfId="5" priority="15">
      <formula>$D10="Not Started"</formula>
    </cfRule>
  </conditionalFormatting>
  <conditionalFormatting sqref="B11:I11">
    <cfRule type="expression" dxfId="3" priority="16">
      <formula>$D11="Complete"</formula>
    </cfRule>
  </conditionalFormatting>
  <conditionalFormatting sqref="B11:I11">
    <cfRule type="expression" dxfId="4" priority="17">
      <formula>$D11="In Progress"</formula>
    </cfRule>
  </conditionalFormatting>
  <conditionalFormatting sqref="B11:I11">
    <cfRule type="expression" dxfId="5" priority="18">
      <formula>$D11="Not Started"</formula>
    </cfRule>
  </conditionalFormatting>
  <conditionalFormatting sqref="K11">
    <cfRule type="expression" dxfId="3" priority="19">
      <formula>$D11="Complete"</formula>
    </cfRule>
  </conditionalFormatting>
  <conditionalFormatting sqref="K11">
    <cfRule type="expression" dxfId="4" priority="20">
      <formula>$D11="In Progress"</formula>
    </cfRule>
  </conditionalFormatting>
  <conditionalFormatting sqref="K11">
    <cfRule type="expression" dxfId="5" priority="21">
      <formula>$D11="Not Started"</formula>
    </cfRule>
  </conditionalFormatting>
  <conditionalFormatting sqref="B12:I12">
    <cfRule type="expression" dxfId="3" priority="22">
      <formula>$D12="Complete"</formula>
    </cfRule>
  </conditionalFormatting>
  <conditionalFormatting sqref="B12:I12">
    <cfRule type="expression" dxfId="4" priority="23">
      <formula>$D12="In Progress"</formula>
    </cfRule>
  </conditionalFormatting>
  <conditionalFormatting sqref="B12:I12">
    <cfRule type="expression" dxfId="5" priority="24">
      <formula>$D12="Not Started"</formula>
    </cfRule>
  </conditionalFormatting>
  <conditionalFormatting sqref="K12">
    <cfRule type="expression" dxfId="3" priority="25">
      <formula>$D12="Complete"</formula>
    </cfRule>
  </conditionalFormatting>
  <conditionalFormatting sqref="K12">
    <cfRule type="expression" dxfId="4" priority="26">
      <formula>$D12="In Progress"</formula>
    </cfRule>
  </conditionalFormatting>
  <conditionalFormatting sqref="K12">
    <cfRule type="expression" dxfId="5" priority="27">
      <formula>$D12="Not Started"</formula>
    </cfRule>
  </conditionalFormatting>
  <conditionalFormatting sqref="B13:I13">
    <cfRule type="expression" dxfId="3" priority="28">
      <formula>$D13="Complete"</formula>
    </cfRule>
  </conditionalFormatting>
  <conditionalFormatting sqref="B13:I13">
    <cfRule type="expression" dxfId="4" priority="29">
      <formula>$D13="In Progress"</formula>
    </cfRule>
  </conditionalFormatting>
  <conditionalFormatting sqref="B13:I13">
    <cfRule type="expression" dxfId="5" priority="30">
      <formula>$D13="Not Started"</formula>
    </cfRule>
  </conditionalFormatting>
  <conditionalFormatting sqref="K13">
    <cfRule type="expression" dxfId="3" priority="31">
      <formula>$D13="Complete"</formula>
    </cfRule>
  </conditionalFormatting>
  <conditionalFormatting sqref="K13">
    <cfRule type="expression" dxfId="4" priority="32">
      <formula>$D13="In Progress"</formula>
    </cfRule>
  </conditionalFormatting>
  <conditionalFormatting sqref="K13">
    <cfRule type="expression" dxfId="5" priority="33">
      <formula>$D13="Not Started"</formula>
    </cfRule>
  </conditionalFormatting>
  <conditionalFormatting sqref="B14:I14">
    <cfRule type="expression" dxfId="3" priority="34">
      <formula>$D14="Complete"</formula>
    </cfRule>
  </conditionalFormatting>
  <conditionalFormatting sqref="B14:I14">
    <cfRule type="expression" dxfId="4" priority="35">
      <formula>$D14="In Progress"</formula>
    </cfRule>
  </conditionalFormatting>
  <conditionalFormatting sqref="B14:I14">
    <cfRule type="expression" dxfId="5" priority="36">
      <formula>$D14="Not Started"</formula>
    </cfRule>
  </conditionalFormatting>
  <conditionalFormatting sqref="K14">
    <cfRule type="expression" dxfId="3" priority="37">
      <formula>$D14="Complete"</formula>
    </cfRule>
  </conditionalFormatting>
  <conditionalFormatting sqref="K14">
    <cfRule type="expression" dxfId="4" priority="38">
      <formula>$D14="In Progress"</formula>
    </cfRule>
  </conditionalFormatting>
  <conditionalFormatting sqref="K14">
    <cfRule type="expression" dxfId="5" priority="39">
      <formula>$D14="Not Started"</formula>
    </cfRule>
  </conditionalFormatting>
  <conditionalFormatting sqref="B15:I15">
    <cfRule type="expression" dxfId="3" priority="40">
      <formula>$D15="Complete"</formula>
    </cfRule>
  </conditionalFormatting>
  <conditionalFormatting sqref="B15:I15">
    <cfRule type="expression" dxfId="4" priority="41">
      <formula>$D15="In Progress"</formula>
    </cfRule>
  </conditionalFormatting>
  <conditionalFormatting sqref="B15:I15">
    <cfRule type="expression" dxfId="5" priority="42">
      <formula>$D15="Not Started"</formula>
    </cfRule>
  </conditionalFormatting>
  <conditionalFormatting sqref="K15">
    <cfRule type="expression" dxfId="3" priority="43">
      <formula>$D15="Complete"</formula>
    </cfRule>
  </conditionalFormatting>
  <conditionalFormatting sqref="K15">
    <cfRule type="expression" dxfId="4" priority="44">
      <formula>$D15="In Progress"</formula>
    </cfRule>
  </conditionalFormatting>
  <conditionalFormatting sqref="K15">
    <cfRule type="expression" dxfId="5" priority="45">
      <formula>$D15="Not Started"</formula>
    </cfRule>
  </conditionalFormatting>
  <conditionalFormatting sqref="B16:I16">
    <cfRule type="expression" dxfId="3" priority="46">
      <formula>$D16="Complete"</formula>
    </cfRule>
  </conditionalFormatting>
  <conditionalFormatting sqref="B16:I16">
    <cfRule type="expression" dxfId="4" priority="47">
      <formula>$D16="In Progress"</formula>
    </cfRule>
  </conditionalFormatting>
  <conditionalFormatting sqref="B16:I16">
    <cfRule type="expression" dxfId="5" priority="48">
      <formula>$D16="Not Started"</formula>
    </cfRule>
  </conditionalFormatting>
  <conditionalFormatting sqref="K16">
    <cfRule type="expression" dxfId="3" priority="49">
      <formula>$D16="Complete"</formula>
    </cfRule>
  </conditionalFormatting>
  <conditionalFormatting sqref="K16">
    <cfRule type="expression" dxfId="4" priority="50">
      <formula>$D16="In Progress"</formula>
    </cfRule>
  </conditionalFormatting>
  <conditionalFormatting sqref="K16">
    <cfRule type="expression" dxfId="5" priority="51">
      <formula>$D16="Not Started"</formula>
    </cfRule>
  </conditionalFormatting>
  <conditionalFormatting sqref="B17:I17">
    <cfRule type="expression" dxfId="3" priority="52">
      <formula>$D17="Complete"</formula>
    </cfRule>
  </conditionalFormatting>
  <conditionalFormatting sqref="B17:I17">
    <cfRule type="expression" dxfId="4" priority="53">
      <formula>$D17="In Progress"</formula>
    </cfRule>
  </conditionalFormatting>
  <conditionalFormatting sqref="B17:I17">
    <cfRule type="expression" dxfId="5" priority="54">
      <formula>$D17="Not Started"</formula>
    </cfRule>
  </conditionalFormatting>
  <conditionalFormatting sqref="K17">
    <cfRule type="expression" dxfId="3" priority="55">
      <formula>$D17="Complete"</formula>
    </cfRule>
  </conditionalFormatting>
  <conditionalFormatting sqref="K17">
    <cfRule type="expression" dxfId="4" priority="56">
      <formula>$D17="In Progress"</formula>
    </cfRule>
  </conditionalFormatting>
  <conditionalFormatting sqref="K17">
    <cfRule type="expression" dxfId="5" priority="57">
      <formula>$D17="Not Started"</formula>
    </cfRule>
  </conditionalFormatting>
  <conditionalFormatting sqref="B19:I19">
    <cfRule type="expression" dxfId="3" priority="58">
      <formula>$D19="Complete"</formula>
    </cfRule>
  </conditionalFormatting>
  <conditionalFormatting sqref="B19:I19">
    <cfRule type="expression" dxfId="4" priority="59">
      <formula>$D19="In Progress"</formula>
    </cfRule>
  </conditionalFormatting>
  <conditionalFormatting sqref="B19:I19">
    <cfRule type="expression" dxfId="5" priority="60">
      <formula>$D19="Not Started"</formula>
    </cfRule>
  </conditionalFormatting>
  <conditionalFormatting sqref="K19">
    <cfRule type="expression" dxfId="3" priority="61">
      <formula>$D19="Complete"</formula>
    </cfRule>
  </conditionalFormatting>
  <conditionalFormatting sqref="K19">
    <cfRule type="expression" dxfId="4" priority="62">
      <formula>$D19="In Progress"</formula>
    </cfRule>
  </conditionalFormatting>
  <conditionalFormatting sqref="K19">
    <cfRule type="expression" dxfId="5" priority="63">
      <formula>$D19="Not Started"</formula>
    </cfRule>
  </conditionalFormatting>
  <conditionalFormatting sqref="B20:I20">
    <cfRule type="expression" dxfId="3" priority="64">
      <formula>$D20="Complete"</formula>
    </cfRule>
  </conditionalFormatting>
  <conditionalFormatting sqref="B20:I20">
    <cfRule type="expression" dxfId="4" priority="65">
      <formula>$D20="In Progress"</formula>
    </cfRule>
  </conditionalFormatting>
  <conditionalFormatting sqref="B20:I20">
    <cfRule type="expression" dxfId="5" priority="66">
      <formula>$D20="Not Started"</formula>
    </cfRule>
  </conditionalFormatting>
  <conditionalFormatting sqref="K20">
    <cfRule type="expression" dxfId="3" priority="67">
      <formula>$D20="Complete"</formula>
    </cfRule>
  </conditionalFormatting>
  <conditionalFormatting sqref="K20">
    <cfRule type="expression" dxfId="4" priority="68">
      <formula>$D20="In Progress"</formula>
    </cfRule>
  </conditionalFormatting>
  <conditionalFormatting sqref="K20">
    <cfRule type="expression" dxfId="5" priority="69">
      <formula>$D20="Not Started"</formula>
    </cfRule>
  </conditionalFormatting>
  <conditionalFormatting sqref="B21:I21">
    <cfRule type="expression" dxfId="3" priority="70">
      <formula>$D21="Complete"</formula>
    </cfRule>
  </conditionalFormatting>
  <conditionalFormatting sqref="B21:I21">
    <cfRule type="expression" dxfId="4" priority="71">
      <formula>$D21="In Progress"</formula>
    </cfRule>
  </conditionalFormatting>
  <conditionalFormatting sqref="B21:I21">
    <cfRule type="expression" dxfId="5" priority="72">
      <formula>$D21="Not Started"</formula>
    </cfRule>
  </conditionalFormatting>
  <conditionalFormatting sqref="K21">
    <cfRule type="expression" dxfId="3" priority="73">
      <formula>$D21="Complete"</formula>
    </cfRule>
  </conditionalFormatting>
  <conditionalFormatting sqref="K21">
    <cfRule type="expression" dxfId="4" priority="74">
      <formula>$D21="In Progress"</formula>
    </cfRule>
  </conditionalFormatting>
  <conditionalFormatting sqref="K21">
    <cfRule type="expression" dxfId="5" priority="75">
      <formula>$D21="Not Started"</formula>
    </cfRule>
  </conditionalFormatting>
  <conditionalFormatting sqref="B22:I22">
    <cfRule type="expression" dxfId="3" priority="76">
      <formula>$D22="Complete"</formula>
    </cfRule>
  </conditionalFormatting>
  <conditionalFormatting sqref="B22:I22">
    <cfRule type="expression" dxfId="4" priority="77">
      <formula>$D22="In Progress"</formula>
    </cfRule>
  </conditionalFormatting>
  <conditionalFormatting sqref="B22:I22">
    <cfRule type="expression" dxfId="5" priority="78">
      <formula>$D22="Not Started"</formula>
    </cfRule>
  </conditionalFormatting>
  <conditionalFormatting sqref="K22">
    <cfRule type="expression" dxfId="3" priority="79">
      <formula>$D22="Complete"</formula>
    </cfRule>
  </conditionalFormatting>
  <conditionalFormatting sqref="K22">
    <cfRule type="expression" dxfId="4" priority="80">
      <formula>$D22="In Progress"</formula>
    </cfRule>
  </conditionalFormatting>
  <conditionalFormatting sqref="K22">
    <cfRule type="expression" dxfId="5" priority="81">
      <formula>$D22="Not Started"</formula>
    </cfRule>
  </conditionalFormatting>
  <conditionalFormatting sqref="B23:I23">
    <cfRule type="expression" dxfId="3" priority="82">
      <formula>$D23="Complete"</formula>
    </cfRule>
  </conditionalFormatting>
  <conditionalFormatting sqref="B23:I23">
    <cfRule type="expression" dxfId="4" priority="83">
      <formula>$D23="In Progress"</formula>
    </cfRule>
  </conditionalFormatting>
  <conditionalFormatting sqref="B23:I23">
    <cfRule type="expression" dxfId="5" priority="84">
      <formula>$D23="Not Started"</formula>
    </cfRule>
  </conditionalFormatting>
  <conditionalFormatting sqref="K23">
    <cfRule type="expression" dxfId="3" priority="85">
      <formula>$D23="Complete"</formula>
    </cfRule>
  </conditionalFormatting>
  <conditionalFormatting sqref="K23">
    <cfRule type="expression" dxfId="4" priority="86">
      <formula>$D23="In Progress"</formula>
    </cfRule>
  </conditionalFormatting>
  <conditionalFormatting sqref="K23">
    <cfRule type="expression" dxfId="5" priority="87">
      <formula>$D23="Not Started"</formula>
    </cfRule>
  </conditionalFormatting>
  <conditionalFormatting sqref="B24:I24">
    <cfRule type="expression" dxfId="3" priority="88">
      <formula>$D24="Complete"</formula>
    </cfRule>
  </conditionalFormatting>
  <conditionalFormatting sqref="B24:I24">
    <cfRule type="expression" dxfId="4" priority="89">
      <formula>$D24="In Progress"</formula>
    </cfRule>
  </conditionalFormatting>
  <conditionalFormatting sqref="B24:I24">
    <cfRule type="expression" dxfId="5" priority="90">
      <formula>$D24="Not Started"</formula>
    </cfRule>
  </conditionalFormatting>
  <conditionalFormatting sqref="K24">
    <cfRule type="expression" dxfId="3" priority="91">
      <formula>$D24="Complete"</formula>
    </cfRule>
  </conditionalFormatting>
  <conditionalFormatting sqref="K24">
    <cfRule type="expression" dxfId="4" priority="92">
      <formula>$D24="In Progress"</formula>
    </cfRule>
  </conditionalFormatting>
  <conditionalFormatting sqref="K24">
    <cfRule type="expression" dxfId="5" priority="93">
      <formula>$D24="Not Started"</formula>
    </cfRule>
  </conditionalFormatting>
  <conditionalFormatting sqref="B25:I25">
    <cfRule type="expression" dxfId="3" priority="94">
      <formula>$D25="Complete"</formula>
    </cfRule>
  </conditionalFormatting>
  <conditionalFormatting sqref="B25:I25">
    <cfRule type="expression" dxfId="4" priority="95">
      <formula>$D25="In Progress"</formula>
    </cfRule>
  </conditionalFormatting>
  <conditionalFormatting sqref="B25:I25">
    <cfRule type="expression" dxfId="5" priority="96">
      <formula>$D25="Not Started"</formula>
    </cfRule>
  </conditionalFormatting>
  <conditionalFormatting sqref="K25">
    <cfRule type="expression" dxfId="3" priority="97">
      <formula>$D25="Complete"</formula>
    </cfRule>
  </conditionalFormatting>
  <conditionalFormatting sqref="K25">
    <cfRule type="expression" dxfId="4" priority="98">
      <formula>$D25="In Progress"</formula>
    </cfRule>
  </conditionalFormatting>
  <conditionalFormatting sqref="K25">
    <cfRule type="expression" dxfId="5" priority="99">
      <formula>$D25="Not Started"</formula>
    </cfRule>
  </conditionalFormatting>
  <conditionalFormatting sqref="B27:I27">
    <cfRule type="expression" dxfId="3" priority="100">
      <formula>$D27="Complete"</formula>
    </cfRule>
  </conditionalFormatting>
  <conditionalFormatting sqref="B27:I27">
    <cfRule type="expression" dxfId="4" priority="101">
      <formula>$D27="In Progress"</formula>
    </cfRule>
  </conditionalFormatting>
  <conditionalFormatting sqref="B27:I27">
    <cfRule type="expression" dxfId="5" priority="102">
      <formula>$D27="Not Started"</formula>
    </cfRule>
  </conditionalFormatting>
  <conditionalFormatting sqref="K27">
    <cfRule type="expression" dxfId="3" priority="103">
      <formula>$D27="Complete"</formula>
    </cfRule>
  </conditionalFormatting>
  <conditionalFormatting sqref="K27">
    <cfRule type="expression" dxfId="4" priority="104">
      <formula>$D27="In Progress"</formula>
    </cfRule>
  </conditionalFormatting>
  <conditionalFormatting sqref="K27">
    <cfRule type="expression" dxfId="5" priority="105">
      <formula>$D27="Not Started"</formula>
    </cfRule>
  </conditionalFormatting>
  <conditionalFormatting sqref="B28:I28">
    <cfRule type="expression" dxfId="3" priority="106">
      <formula>$D28="Complete"</formula>
    </cfRule>
  </conditionalFormatting>
  <conditionalFormatting sqref="B28:I28">
    <cfRule type="expression" dxfId="4" priority="107">
      <formula>$D28="In Progress"</formula>
    </cfRule>
  </conditionalFormatting>
  <conditionalFormatting sqref="B28:I28">
    <cfRule type="expression" dxfId="5" priority="108">
      <formula>$D28="Not Started"</formula>
    </cfRule>
  </conditionalFormatting>
  <conditionalFormatting sqref="K28">
    <cfRule type="expression" dxfId="3" priority="109">
      <formula>$D28="Complete"</formula>
    </cfRule>
  </conditionalFormatting>
  <conditionalFormatting sqref="K28">
    <cfRule type="expression" dxfId="4" priority="110">
      <formula>$D28="In Progress"</formula>
    </cfRule>
  </conditionalFormatting>
  <conditionalFormatting sqref="K28">
    <cfRule type="expression" dxfId="5" priority="111">
      <formula>$D28="Not Started"</formula>
    </cfRule>
  </conditionalFormatting>
  <conditionalFormatting sqref="B29:I29">
    <cfRule type="expression" dxfId="3" priority="112">
      <formula>$D29="Complete"</formula>
    </cfRule>
  </conditionalFormatting>
  <conditionalFormatting sqref="B29:I29">
    <cfRule type="expression" dxfId="4" priority="113">
      <formula>$D29="In Progress"</formula>
    </cfRule>
  </conditionalFormatting>
  <conditionalFormatting sqref="B29:I29">
    <cfRule type="expression" dxfId="5" priority="114">
      <formula>$D29="Not Started"</formula>
    </cfRule>
  </conditionalFormatting>
  <conditionalFormatting sqref="K29">
    <cfRule type="expression" dxfId="3" priority="115">
      <formula>$D29="Complete"</formula>
    </cfRule>
  </conditionalFormatting>
  <conditionalFormatting sqref="K29">
    <cfRule type="expression" dxfId="4" priority="116">
      <formula>$D29="In Progress"</formula>
    </cfRule>
  </conditionalFormatting>
  <conditionalFormatting sqref="K29">
    <cfRule type="expression" dxfId="5" priority="117">
      <formula>$D29="Not Started"</formula>
    </cfRule>
  </conditionalFormatting>
  <conditionalFormatting sqref="B30:I30">
    <cfRule type="expression" dxfId="3" priority="118">
      <formula>$D30="Complete"</formula>
    </cfRule>
  </conditionalFormatting>
  <conditionalFormatting sqref="B30:I30">
    <cfRule type="expression" dxfId="4" priority="119">
      <formula>$D30="In Progress"</formula>
    </cfRule>
  </conditionalFormatting>
  <conditionalFormatting sqref="B30:I30">
    <cfRule type="expression" dxfId="5" priority="120">
      <formula>$D30="Not Started"</formula>
    </cfRule>
  </conditionalFormatting>
  <conditionalFormatting sqref="K30">
    <cfRule type="expression" dxfId="3" priority="121">
      <formula>$D30="Complete"</formula>
    </cfRule>
  </conditionalFormatting>
  <conditionalFormatting sqref="K30">
    <cfRule type="expression" dxfId="4" priority="122">
      <formula>$D30="In Progress"</formula>
    </cfRule>
  </conditionalFormatting>
  <conditionalFormatting sqref="K30">
    <cfRule type="expression" dxfId="5" priority="123">
      <formula>$D30="Not Started"</formula>
    </cfRule>
  </conditionalFormatting>
  <conditionalFormatting sqref="B31:I31">
    <cfRule type="expression" dxfId="3" priority="124">
      <formula>$D31="Complete"</formula>
    </cfRule>
  </conditionalFormatting>
  <conditionalFormatting sqref="B31:I31">
    <cfRule type="expression" dxfId="4" priority="125">
      <formula>$D31="In Progress"</formula>
    </cfRule>
  </conditionalFormatting>
  <conditionalFormatting sqref="B31:I31">
    <cfRule type="expression" dxfId="5" priority="126">
      <formula>$D31="Not Started"</formula>
    </cfRule>
  </conditionalFormatting>
  <conditionalFormatting sqref="K31">
    <cfRule type="expression" dxfId="3" priority="127">
      <formula>$D31="Complete"</formula>
    </cfRule>
  </conditionalFormatting>
  <conditionalFormatting sqref="K31">
    <cfRule type="expression" dxfId="4" priority="128">
      <formula>$D31="In Progress"</formula>
    </cfRule>
  </conditionalFormatting>
  <conditionalFormatting sqref="K31">
    <cfRule type="expression" dxfId="5" priority="129">
      <formula>$D31="Not Started"</formula>
    </cfRule>
  </conditionalFormatting>
  <conditionalFormatting sqref="B32:I32">
    <cfRule type="expression" dxfId="3" priority="130">
      <formula>$D32="Complete"</formula>
    </cfRule>
  </conditionalFormatting>
  <conditionalFormatting sqref="B32:I32">
    <cfRule type="expression" dxfId="4" priority="131">
      <formula>$D32="In Progress"</formula>
    </cfRule>
  </conditionalFormatting>
  <conditionalFormatting sqref="B32:I32">
    <cfRule type="expression" dxfId="5" priority="132">
      <formula>$D32="Not Started"</formula>
    </cfRule>
  </conditionalFormatting>
  <conditionalFormatting sqref="K32">
    <cfRule type="expression" dxfId="3" priority="133">
      <formula>$D32="Complete"</formula>
    </cfRule>
  </conditionalFormatting>
  <conditionalFormatting sqref="K32">
    <cfRule type="expression" dxfId="4" priority="134">
      <formula>$D32="In Progress"</formula>
    </cfRule>
  </conditionalFormatting>
  <conditionalFormatting sqref="K32">
    <cfRule type="expression" dxfId="5" priority="135">
      <formula>$D32="Not Started"</formula>
    </cfRule>
  </conditionalFormatting>
  <conditionalFormatting sqref="B33:I33">
    <cfRule type="expression" dxfId="3" priority="136">
      <formula>$D33="Complete"</formula>
    </cfRule>
  </conditionalFormatting>
  <conditionalFormatting sqref="B33:I33">
    <cfRule type="expression" dxfId="4" priority="137">
      <formula>$D33="In Progress"</formula>
    </cfRule>
  </conditionalFormatting>
  <conditionalFormatting sqref="B33:I33">
    <cfRule type="expression" dxfId="5" priority="138">
      <formula>$D33="Not Started"</formula>
    </cfRule>
  </conditionalFormatting>
  <conditionalFormatting sqref="K33">
    <cfRule type="expression" dxfId="3" priority="139">
      <formula>$D33="Complete"</formula>
    </cfRule>
  </conditionalFormatting>
  <conditionalFormatting sqref="K33">
    <cfRule type="expression" dxfId="4" priority="140">
      <formula>$D33="In Progress"</formula>
    </cfRule>
  </conditionalFormatting>
  <conditionalFormatting sqref="K33">
    <cfRule type="expression" dxfId="5" priority="141">
      <formula>$D33="Not Started"</formula>
    </cfRule>
  </conditionalFormatting>
  <conditionalFormatting sqref="B34:I34">
    <cfRule type="expression" dxfId="3" priority="142">
      <formula>$D34="Complete"</formula>
    </cfRule>
  </conditionalFormatting>
  <conditionalFormatting sqref="B34:I34">
    <cfRule type="expression" dxfId="4" priority="143">
      <formula>$D34="In Progress"</formula>
    </cfRule>
  </conditionalFormatting>
  <conditionalFormatting sqref="B34:I34">
    <cfRule type="expression" dxfId="5" priority="144">
      <formula>$D34="Not Started"</formula>
    </cfRule>
  </conditionalFormatting>
  <conditionalFormatting sqref="K34">
    <cfRule type="expression" dxfId="3" priority="145">
      <formula>$D34="Complete"</formula>
    </cfRule>
  </conditionalFormatting>
  <conditionalFormatting sqref="K34">
    <cfRule type="expression" dxfId="4" priority="146">
      <formula>$D34="In Progress"</formula>
    </cfRule>
  </conditionalFormatting>
  <conditionalFormatting sqref="K34">
    <cfRule type="expression" dxfId="5" priority="147">
      <formula>$D34="Not Started"</formula>
    </cfRule>
  </conditionalFormatting>
  <conditionalFormatting sqref="B36:I36">
    <cfRule type="expression" dxfId="3" priority="148">
      <formula>$D36="Complete"</formula>
    </cfRule>
  </conditionalFormatting>
  <conditionalFormatting sqref="B36:I36">
    <cfRule type="expression" dxfId="4" priority="149">
      <formula>$D36="In Progress"</formula>
    </cfRule>
  </conditionalFormatting>
  <conditionalFormatting sqref="B36:I36">
    <cfRule type="expression" dxfId="5" priority="150">
      <formula>$D36="Not Started"</formula>
    </cfRule>
  </conditionalFormatting>
  <conditionalFormatting sqref="K36">
    <cfRule type="expression" dxfId="3" priority="151">
      <formula>$D36="Complete"</formula>
    </cfRule>
  </conditionalFormatting>
  <conditionalFormatting sqref="K36">
    <cfRule type="expression" dxfId="4" priority="152">
      <formula>$D36="In Progress"</formula>
    </cfRule>
  </conditionalFormatting>
  <conditionalFormatting sqref="K36">
    <cfRule type="expression" dxfId="5" priority="153">
      <formula>$D36="Not Started"</formula>
    </cfRule>
  </conditionalFormatting>
  <conditionalFormatting sqref="B37:I37">
    <cfRule type="expression" dxfId="3" priority="154">
      <formula>$D37="Complete"</formula>
    </cfRule>
  </conditionalFormatting>
  <conditionalFormatting sqref="B37:I37">
    <cfRule type="expression" dxfId="4" priority="155">
      <formula>$D37="In Progress"</formula>
    </cfRule>
  </conditionalFormatting>
  <conditionalFormatting sqref="B37:I37">
    <cfRule type="expression" dxfId="5" priority="156">
      <formula>$D37="Not Started"</formula>
    </cfRule>
  </conditionalFormatting>
  <conditionalFormatting sqref="K37">
    <cfRule type="expression" dxfId="3" priority="157">
      <formula>$D37="Complete"</formula>
    </cfRule>
  </conditionalFormatting>
  <conditionalFormatting sqref="K37">
    <cfRule type="expression" dxfId="4" priority="158">
      <formula>$D37="In Progress"</formula>
    </cfRule>
  </conditionalFormatting>
  <conditionalFormatting sqref="K37">
    <cfRule type="expression" dxfId="5" priority="159">
      <formula>$D37="Not Started"</formula>
    </cfRule>
  </conditionalFormatting>
  <conditionalFormatting sqref="B38:I38">
    <cfRule type="expression" dxfId="3" priority="160">
      <formula>$D38="Complete"</formula>
    </cfRule>
  </conditionalFormatting>
  <conditionalFormatting sqref="B38:I38">
    <cfRule type="expression" dxfId="4" priority="161">
      <formula>$D38="In Progress"</formula>
    </cfRule>
  </conditionalFormatting>
  <conditionalFormatting sqref="B38:I38">
    <cfRule type="expression" dxfId="5" priority="162">
      <formula>$D38="Not Started"</formula>
    </cfRule>
  </conditionalFormatting>
  <conditionalFormatting sqref="K38">
    <cfRule type="expression" dxfId="3" priority="163">
      <formula>$D38="Complete"</formula>
    </cfRule>
  </conditionalFormatting>
  <conditionalFormatting sqref="K38">
    <cfRule type="expression" dxfId="4" priority="164">
      <formula>$D38="In Progress"</formula>
    </cfRule>
  </conditionalFormatting>
  <conditionalFormatting sqref="K38">
    <cfRule type="expression" dxfId="5" priority="165">
      <formula>$D38="Not Started"</formula>
    </cfRule>
  </conditionalFormatting>
  <conditionalFormatting sqref="B39:I39">
    <cfRule type="expression" dxfId="3" priority="166">
      <formula>$D39="Complete"</formula>
    </cfRule>
  </conditionalFormatting>
  <conditionalFormatting sqref="B39:I39">
    <cfRule type="expression" dxfId="4" priority="167">
      <formula>$D39="In Progress"</formula>
    </cfRule>
  </conditionalFormatting>
  <conditionalFormatting sqref="B39:I39">
    <cfRule type="expression" dxfId="5" priority="168">
      <formula>$D39="Not Started"</formula>
    </cfRule>
  </conditionalFormatting>
  <conditionalFormatting sqref="K39">
    <cfRule type="expression" dxfId="3" priority="169">
      <formula>$D39="Complete"</formula>
    </cfRule>
  </conditionalFormatting>
  <conditionalFormatting sqref="K39">
    <cfRule type="expression" dxfId="4" priority="170">
      <formula>$D39="In Progress"</formula>
    </cfRule>
  </conditionalFormatting>
  <conditionalFormatting sqref="K39">
    <cfRule type="expression" dxfId="5" priority="171">
      <formula>$D39="Not Started"</formula>
    </cfRule>
  </conditionalFormatting>
  <conditionalFormatting sqref="B40:I40">
    <cfRule type="expression" dxfId="3" priority="172">
      <formula>$D40="Complete"</formula>
    </cfRule>
  </conditionalFormatting>
  <conditionalFormatting sqref="B40:I40">
    <cfRule type="expression" dxfId="4" priority="173">
      <formula>$D40="In Progress"</formula>
    </cfRule>
  </conditionalFormatting>
  <conditionalFormatting sqref="B40:I40">
    <cfRule type="expression" dxfId="5" priority="174">
      <formula>$D40="Not Started"</formula>
    </cfRule>
  </conditionalFormatting>
  <conditionalFormatting sqref="K40">
    <cfRule type="expression" dxfId="3" priority="175">
      <formula>$D40="Complete"</formula>
    </cfRule>
  </conditionalFormatting>
  <conditionalFormatting sqref="K40">
    <cfRule type="expression" dxfId="4" priority="176">
      <formula>$D40="In Progress"</formula>
    </cfRule>
  </conditionalFormatting>
  <conditionalFormatting sqref="K40">
    <cfRule type="expression" dxfId="5" priority="177">
      <formula>$D40="Not Started"</formula>
    </cfRule>
  </conditionalFormatting>
  <conditionalFormatting sqref="B41:I41">
    <cfRule type="expression" dxfId="3" priority="178">
      <formula>$D41="Complete"</formula>
    </cfRule>
  </conditionalFormatting>
  <conditionalFormatting sqref="B41:I41">
    <cfRule type="expression" dxfId="4" priority="179">
      <formula>$D41="In Progress"</formula>
    </cfRule>
  </conditionalFormatting>
  <conditionalFormatting sqref="B41:I41">
    <cfRule type="expression" dxfId="5" priority="180">
      <formula>$D41="Not Started"</formula>
    </cfRule>
  </conditionalFormatting>
  <conditionalFormatting sqref="K41">
    <cfRule type="expression" dxfId="3" priority="181">
      <formula>$D41="Complete"</formula>
    </cfRule>
  </conditionalFormatting>
  <conditionalFormatting sqref="K41">
    <cfRule type="expression" dxfId="4" priority="182">
      <formula>$D41="In Progress"</formula>
    </cfRule>
  </conditionalFormatting>
  <conditionalFormatting sqref="K41">
    <cfRule type="expression" dxfId="5" priority="183">
      <formula>$D41="Not Started"</formula>
    </cfRule>
  </conditionalFormatting>
  <conditionalFormatting sqref="B42:I42">
    <cfRule type="expression" dxfId="3" priority="184">
      <formula>$D42="Complete"</formula>
    </cfRule>
  </conditionalFormatting>
  <conditionalFormatting sqref="B42:I42">
    <cfRule type="expression" dxfId="4" priority="185">
      <formula>$D42="In Progress"</formula>
    </cfRule>
  </conditionalFormatting>
  <conditionalFormatting sqref="B42:I42">
    <cfRule type="expression" dxfId="5" priority="186">
      <formula>$D42="Not Started"</formula>
    </cfRule>
  </conditionalFormatting>
  <conditionalFormatting sqref="K42">
    <cfRule type="expression" dxfId="3" priority="187">
      <formula>$D42="Complete"</formula>
    </cfRule>
  </conditionalFormatting>
  <conditionalFormatting sqref="K42">
    <cfRule type="expression" dxfId="4" priority="188">
      <formula>$D42="In Progress"</formula>
    </cfRule>
  </conditionalFormatting>
  <conditionalFormatting sqref="K42">
    <cfRule type="expression" dxfId="5" priority="189">
      <formula>$D42="Not Started"</formula>
    </cfRule>
  </conditionalFormatting>
  <conditionalFormatting sqref="B43:I43">
    <cfRule type="expression" dxfId="3" priority="190">
      <formula>$D43="Complete"</formula>
    </cfRule>
  </conditionalFormatting>
  <conditionalFormatting sqref="B43:I43">
    <cfRule type="expression" dxfId="4" priority="191">
      <formula>$D43="In Progress"</formula>
    </cfRule>
  </conditionalFormatting>
  <conditionalFormatting sqref="B43:I43">
    <cfRule type="expression" dxfId="5" priority="192">
      <formula>$D43="Not Started"</formula>
    </cfRule>
  </conditionalFormatting>
  <conditionalFormatting sqref="K43">
    <cfRule type="expression" dxfId="3" priority="193">
      <formula>$D43="Complete"</formula>
    </cfRule>
  </conditionalFormatting>
  <conditionalFormatting sqref="K43">
    <cfRule type="expression" dxfId="4" priority="194">
      <formula>$D43="In Progress"</formula>
    </cfRule>
  </conditionalFormatting>
  <conditionalFormatting sqref="K43">
    <cfRule type="expression" dxfId="5" priority="195">
      <formula>$D43="Not Started"</formula>
    </cfRule>
  </conditionalFormatting>
  <conditionalFormatting sqref="B45:I45">
    <cfRule type="expression" dxfId="3" priority="196">
      <formula>$D45="Complete"</formula>
    </cfRule>
  </conditionalFormatting>
  <conditionalFormatting sqref="B45:I45">
    <cfRule type="expression" dxfId="4" priority="197">
      <formula>$D45="In Progress"</formula>
    </cfRule>
  </conditionalFormatting>
  <conditionalFormatting sqref="B45:I45">
    <cfRule type="expression" dxfId="5" priority="198">
      <formula>$D45="Not Started"</formula>
    </cfRule>
  </conditionalFormatting>
  <conditionalFormatting sqref="K45">
    <cfRule type="expression" dxfId="3" priority="199">
      <formula>$D45="Complete"</formula>
    </cfRule>
  </conditionalFormatting>
  <conditionalFormatting sqref="K45">
    <cfRule type="expression" dxfId="4" priority="200">
      <formula>$D45="In Progress"</formula>
    </cfRule>
  </conditionalFormatting>
  <conditionalFormatting sqref="K45">
    <cfRule type="expression" dxfId="5" priority="201">
      <formula>$D45="Not Started"</formula>
    </cfRule>
  </conditionalFormatting>
  <conditionalFormatting sqref="B46:I46">
    <cfRule type="expression" dxfId="3" priority="202">
      <formula>$D46="Complete"</formula>
    </cfRule>
  </conditionalFormatting>
  <conditionalFormatting sqref="B46:I46">
    <cfRule type="expression" dxfId="4" priority="203">
      <formula>$D46="In Progress"</formula>
    </cfRule>
  </conditionalFormatting>
  <conditionalFormatting sqref="B46:I46">
    <cfRule type="expression" dxfId="5" priority="204">
      <formula>$D46="Not Started"</formula>
    </cfRule>
  </conditionalFormatting>
  <conditionalFormatting sqref="K46">
    <cfRule type="expression" dxfId="3" priority="205">
      <formula>$D46="Complete"</formula>
    </cfRule>
  </conditionalFormatting>
  <conditionalFormatting sqref="K46">
    <cfRule type="expression" dxfId="4" priority="206">
      <formula>$D46="In Progress"</formula>
    </cfRule>
  </conditionalFormatting>
  <conditionalFormatting sqref="K46">
    <cfRule type="expression" dxfId="5" priority="207">
      <formula>$D46="Not Started"</formula>
    </cfRule>
  </conditionalFormatting>
  <conditionalFormatting sqref="B47:I47">
    <cfRule type="expression" dxfId="3" priority="208">
      <formula>$D47="Complete"</formula>
    </cfRule>
  </conditionalFormatting>
  <conditionalFormatting sqref="B47:I47">
    <cfRule type="expression" dxfId="4" priority="209">
      <formula>$D47="In Progress"</formula>
    </cfRule>
  </conditionalFormatting>
  <conditionalFormatting sqref="B47:I47">
    <cfRule type="expression" dxfId="5" priority="210">
      <formula>$D47="Not Started"</formula>
    </cfRule>
  </conditionalFormatting>
  <conditionalFormatting sqref="K47">
    <cfRule type="expression" dxfId="3" priority="211">
      <formula>$D47="Complete"</formula>
    </cfRule>
  </conditionalFormatting>
  <conditionalFormatting sqref="K47">
    <cfRule type="expression" dxfId="4" priority="212">
      <formula>$D47="In Progress"</formula>
    </cfRule>
  </conditionalFormatting>
  <conditionalFormatting sqref="K47">
    <cfRule type="expression" dxfId="5" priority="213">
      <formula>$D47="Not Started"</formula>
    </cfRule>
  </conditionalFormatting>
  <conditionalFormatting sqref="B48:I48">
    <cfRule type="expression" dxfId="3" priority="214">
      <formula>$D48="Complete"</formula>
    </cfRule>
  </conditionalFormatting>
  <conditionalFormatting sqref="B48:I48">
    <cfRule type="expression" dxfId="4" priority="215">
      <formula>$D48="In Progress"</formula>
    </cfRule>
  </conditionalFormatting>
  <conditionalFormatting sqref="B48:I48">
    <cfRule type="expression" dxfId="5" priority="216">
      <formula>$D48="Not Started"</formula>
    </cfRule>
  </conditionalFormatting>
  <conditionalFormatting sqref="K48">
    <cfRule type="expression" dxfId="3" priority="217">
      <formula>$D48="Complete"</formula>
    </cfRule>
  </conditionalFormatting>
  <conditionalFormatting sqref="K48">
    <cfRule type="expression" dxfId="4" priority="218">
      <formula>$D48="In Progress"</formula>
    </cfRule>
  </conditionalFormatting>
  <conditionalFormatting sqref="K48">
    <cfRule type="expression" dxfId="5" priority="219">
      <formula>$D48="Not Started"</formula>
    </cfRule>
  </conditionalFormatting>
  <conditionalFormatting sqref="B49:I49">
    <cfRule type="expression" dxfId="3" priority="220">
      <formula>$D49="Complete"</formula>
    </cfRule>
  </conditionalFormatting>
  <conditionalFormatting sqref="B49:I49">
    <cfRule type="expression" dxfId="4" priority="221">
      <formula>$D49="In Progress"</formula>
    </cfRule>
  </conditionalFormatting>
  <conditionalFormatting sqref="B49:I49">
    <cfRule type="expression" dxfId="5" priority="222">
      <formula>$D49="Not Started"</formula>
    </cfRule>
  </conditionalFormatting>
  <conditionalFormatting sqref="K49">
    <cfRule type="expression" dxfId="3" priority="223">
      <formula>$D49="Complete"</formula>
    </cfRule>
  </conditionalFormatting>
  <conditionalFormatting sqref="K49">
    <cfRule type="expression" dxfId="4" priority="224">
      <formula>$D49="In Progress"</formula>
    </cfRule>
  </conditionalFormatting>
  <conditionalFormatting sqref="K49">
    <cfRule type="expression" dxfId="5" priority="225">
      <formula>$D49="Not Started"</formula>
    </cfRule>
  </conditionalFormatting>
  <conditionalFormatting sqref="B50:I50">
    <cfRule type="expression" dxfId="3" priority="226">
      <formula>$D50="Complete"</formula>
    </cfRule>
  </conditionalFormatting>
  <conditionalFormatting sqref="B50:I50">
    <cfRule type="expression" dxfId="4" priority="227">
      <formula>$D50="In Progress"</formula>
    </cfRule>
  </conditionalFormatting>
  <conditionalFormatting sqref="B50:I50">
    <cfRule type="expression" dxfId="5" priority="228">
      <formula>$D50="Not Started"</formula>
    </cfRule>
  </conditionalFormatting>
  <conditionalFormatting sqref="K50">
    <cfRule type="expression" dxfId="3" priority="229">
      <formula>$D50="Complete"</formula>
    </cfRule>
  </conditionalFormatting>
  <conditionalFormatting sqref="K50">
    <cfRule type="expression" dxfId="4" priority="230">
      <formula>$D50="In Progress"</formula>
    </cfRule>
  </conditionalFormatting>
  <conditionalFormatting sqref="K50">
    <cfRule type="expression" dxfId="5" priority="231">
      <formula>$D50="Not Started"</formula>
    </cfRule>
  </conditionalFormatting>
  <conditionalFormatting sqref="B51:I51">
    <cfRule type="expression" dxfId="3" priority="232">
      <formula>$D51="Complete"</formula>
    </cfRule>
  </conditionalFormatting>
  <conditionalFormatting sqref="B51:I51">
    <cfRule type="expression" dxfId="4" priority="233">
      <formula>$D51="In Progress"</formula>
    </cfRule>
  </conditionalFormatting>
  <conditionalFormatting sqref="B51:I51">
    <cfRule type="expression" dxfId="5" priority="234">
      <formula>$D51="Not Started"</formula>
    </cfRule>
  </conditionalFormatting>
  <conditionalFormatting sqref="K51">
    <cfRule type="expression" dxfId="3" priority="235">
      <formula>$D51="Complete"</formula>
    </cfRule>
  </conditionalFormatting>
  <conditionalFormatting sqref="K51">
    <cfRule type="expression" dxfId="4" priority="236">
      <formula>$D51="In Progress"</formula>
    </cfRule>
  </conditionalFormatting>
  <conditionalFormatting sqref="K51">
    <cfRule type="expression" dxfId="5" priority="237">
      <formula>$D51="Not Started"</formula>
    </cfRule>
  </conditionalFormatting>
  <conditionalFormatting sqref="B52:I52">
    <cfRule type="expression" dxfId="3" priority="238">
      <formula>$D52="Complete"</formula>
    </cfRule>
  </conditionalFormatting>
  <conditionalFormatting sqref="B52:I52">
    <cfRule type="expression" dxfId="4" priority="239">
      <formula>$D52="In Progress"</formula>
    </cfRule>
  </conditionalFormatting>
  <conditionalFormatting sqref="B52:I52">
    <cfRule type="expression" dxfId="5" priority="240">
      <formula>$D52="Not Started"</formula>
    </cfRule>
  </conditionalFormatting>
  <conditionalFormatting sqref="K52">
    <cfRule type="expression" dxfId="3" priority="241">
      <formula>$D52="Complete"</formula>
    </cfRule>
  </conditionalFormatting>
  <conditionalFormatting sqref="K52">
    <cfRule type="expression" dxfId="4" priority="242">
      <formula>$D52="In Progress"</formula>
    </cfRule>
  </conditionalFormatting>
  <conditionalFormatting sqref="K52">
    <cfRule type="expression" dxfId="5" priority="243">
      <formula>$D52="Not Started"</formula>
    </cfRule>
  </conditionalFormatting>
  <conditionalFormatting sqref="B54:I54">
    <cfRule type="expression" dxfId="3" priority="244">
      <formula>$D54="Complete"</formula>
    </cfRule>
  </conditionalFormatting>
  <conditionalFormatting sqref="B54:I54">
    <cfRule type="expression" dxfId="4" priority="245">
      <formula>$D54="In Progress"</formula>
    </cfRule>
  </conditionalFormatting>
  <conditionalFormatting sqref="B54:I54">
    <cfRule type="expression" dxfId="5" priority="246">
      <formula>$D54="Not Started"</formula>
    </cfRule>
  </conditionalFormatting>
  <conditionalFormatting sqref="K54">
    <cfRule type="expression" dxfId="3" priority="247">
      <formula>$D54="Complete"</formula>
    </cfRule>
  </conditionalFormatting>
  <conditionalFormatting sqref="K54">
    <cfRule type="expression" dxfId="4" priority="248">
      <formula>$D54="In Progress"</formula>
    </cfRule>
  </conditionalFormatting>
  <conditionalFormatting sqref="K54">
    <cfRule type="expression" dxfId="5" priority="249">
      <formula>$D54="Not Started"</formula>
    </cfRule>
  </conditionalFormatting>
  <conditionalFormatting sqref="B55:I55">
    <cfRule type="expression" dxfId="3" priority="250">
      <formula>$D55="Complete"</formula>
    </cfRule>
  </conditionalFormatting>
  <conditionalFormatting sqref="B55:I55">
    <cfRule type="expression" dxfId="4" priority="251">
      <formula>$D55="In Progress"</formula>
    </cfRule>
  </conditionalFormatting>
  <conditionalFormatting sqref="B55:I55">
    <cfRule type="expression" dxfId="5" priority="252">
      <formula>$D55="Not Started"</formula>
    </cfRule>
  </conditionalFormatting>
  <conditionalFormatting sqref="K55">
    <cfRule type="expression" dxfId="3" priority="253">
      <formula>$D55="Complete"</formula>
    </cfRule>
  </conditionalFormatting>
  <conditionalFormatting sqref="K55">
    <cfRule type="expression" dxfId="4" priority="254">
      <formula>$D55="In Progress"</formula>
    </cfRule>
  </conditionalFormatting>
  <conditionalFormatting sqref="K55">
    <cfRule type="expression" dxfId="5" priority="255">
      <formula>$D55="Not Started"</formula>
    </cfRule>
  </conditionalFormatting>
  <conditionalFormatting sqref="B56:I56">
    <cfRule type="expression" dxfId="3" priority="256">
      <formula>$D56="Complete"</formula>
    </cfRule>
  </conditionalFormatting>
  <conditionalFormatting sqref="B56:I56">
    <cfRule type="expression" dxfId="4" priority="257">
      <formula>$D56="In Progress"</formula>
    </cfRule>
  </conditionalFormatting>
  <conditionalFormatting sqref="B56:I56">
    <cfRule type="expression" dxfId="5" priority="258">
      <formula>$D56="Not Started"</formula>
    </cfRule>
  </conditionalFormatting>
  <conditionalFormatting sqref="K56">
    <cfRule type="expression" dxfId="3" priority="259">
      <formula>$D56="Complete"</formula>
    </cfRule>
  </conditionalFormatting>
  <conditionalFormatting sqref="K56">
    <cfRule type="expression" dxfId="4" priority="260">
      <formula>$D56="In Progress"</formula>
    </cfRule>
  </conditionalFormatting>
  <conditionalFormatting sqref="K56">
    <cfRule type="expression" dxfId="5" priority="261">
      <formula>$D56="Not Started"</formula>
    </cfRule>
  </conditionalFormatting>
  <conditionalFormatting sqref="B57:I57">
    <cfRule type="expression" dxfId="3" priority="262">
      <formula>$D57="Complete"</formula>
    </cfRule>
  </conditionalFormatting>
  <conditionalFormatting sqref="B57:I57">
    <cfRule type="expression" dxfId="4" priority="263">
      <formula>$D57="In Progress"</formula>
    </cfRule>
  </conditionalFormatting>
  <conditionalFormatting sqref="B57:I57">
    <cfRule type="expression" dxfId="5" priority="264">
      <formula>$D57="Not Started"</formula>
    </cfRule>
  </conditionalFormatting>
  <conditionalFormatting sqref="K57">
    <cfRule type="expression" dxfId="3" priority="265">
      <formula>$D57="Complete"</formula>
    </cfRule>
  </conditionalFormatting>
  <conditionalFormatting sqref="K57">
    <cfRule type="expression" dxfId="4" priority="266">
      <formula>$D57="In Progress"</formula>
    </cfRule>
  </conditionalFormatting>
  <conditionalFormatting sqref="K57">
    <cfRule type="expression" dxfId="5" priority="267">
      <formula>$D57="Not Started"</formula>
    </cfRule>
  </conditionalFormatting>
  <conditionalFormatting sqref="B58:I58">
    <cfRule type="expression" dxfId="3" priority="268">
      <formula>$D58="Complete"</formula>
    </cfRule>
  </conditionalFormatting>
  <conditionalFormatting sqref="B58:I58">
    <cfRule type="expression" dxfId="4" priority="269">
      <formula>$D58="In Progress"</formula>
    </cfRule>
  </conditionalFormatting>
  <conditionalFormatting sqref="B58:I58">
    <cfRule type="expression" dxfId="5" priority="270">
      <formula>$D58="Not Started"</formula>
    </cfRule>
  </conditionalFormatting>
  <conditionalFormatting sqref="K58">
    <cfRule type="expression" dxfId="3" priority="271">
      <formula>$D58="Complete"</formula>
    </cfRule>
  </conditionalFormatting>
  <conditionalFormatting sqref="K58">
    <cfRule type="expression" dxfId="4" priority="272">
      <formula>$D58="In Progress"</formula>
    </cfRule>
  </conditionalFormatting>
  <conditionalFormatting sqref="K58">
    <cfRule type="expression" dxfId="5" priority="273">
      <formula>$D58="Not Started"</formula>
    </cfRule>
  </conditionalFormatting>
  <conditionalFormatting sqref="B59:I59">
    <cfRule type="expression" dxfId="3" priority="274">
      <formula>$D59="Complete"</formula>
    </cfRule>
  </conditionalFormatting>
  <conditionalFormatting sqref="B59:I59">
    <cfRule type="expression" dxfId="4" priority="275">
      <formula>$D59="In Progress"</formula>
    </cfRule>
  </conditionalFormatting>
  <conditionalFormatting sqref="B59:I59">
    <cfRule type="expression" dxfId="5" priority="276">
      <formula>$D59="Not Started"</formula>
    </cfRule>
  </conditionalFormatting>
  <conditionalFormatting sqref="K59">
    <cfRule type="expression" dxfId="3" priority="277">
      <formula>$D59="Complete"</formula>
    </cfRule>
  </conditionalFormatting>
  <conditionalFormatting sqref="K59">
    <cfRule type="expression" dxfId="4" priority="278">
      <formula>$D59="In Progress"</formula>
    </cfRule>
  </conditionalFormatting>
  <conditionalFormatting sqref="K59">
    <cfRule type="expression" dxfId="5" priority="279">
      <formula>$D59="Not Started"</formula>
    </cfRule>
  </conditionalFormatting>
  <conditionalFormatting sqref="B60:I60">
    <cfRule type="expression" dxfId="3" priority="280">
      <formula>$D60="Complete"</formula>
    </cfRule>
  </conditionalFormatting>
  <conditionalFormatting sqref="B60:I60">
    <cfRule type="expression" dxfId="4" priority="281">
      <formula>$D60="In Progress"</formula>
    </cfRule>
  </conditionalFormatting>
  <conditionalFormatting sqref="B60:I60">
    <cfRule type="expression" dxfId="5" priority="282">
      <formula>$D60="Not Started"</formula>
    </cfRule>
  </conditionalFormatting>
  <conditionalFormatting sqref="K60">
    <cfRule type="expression" dxfId="3" priority="283">
      <formula>$D60="Complete"</formula>
    </cfRule>
  </conditionalFormatting>
  <conditionalFormatting sqref="K60">
    <cfRule type="expression" dxfId="4" priority="284">
      <formula>$D60="In Progress"</formula>
    </cfRule>
  </conditionalFormatting>
  <conditionalFormatting sqref="K60">
    <cfRule type="expression" dxfId="5" priority="285">
      <formula>$D60="Not Started"</formula>
    </cfRule>
  </conditionalFormatting>
  <dataValidations>
    <dataValidation type="list" allowBlank="1" showInputMessage="1" showErrorMessage="1" prompt="Click and enter a value from range" sqref="D8:D60">
      <formula1>Lists!$A$2:$A$4</formula1>
    </dataValidation>
    <dataValidation type="list" allowBlank="1" showInputMessage="1" prompt="Not in the list - This value is not in the dropdown list. Keep it anyway?" sqref="E8:E60">
      <formula1>AssignedList</formula1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40.0"/>
    <col customWidth="1" min="3" max="6" width="8.71"/>
  </cols>
  <sheetData>
    <row r="1" ht="15.0" customHeight="1">
      <c r="A1" s="2" t="s">
        <v>0</v>
      </c>
      <c r="B1" s="2" t="s">
        <v>2</v>
      </c>
      <c r="D1" s="3" t="s">
        <v>3</v>
      </c>
    </row>
    <row r="2" ht="15.0" customHeight="1">
      <c r="A2" s="4" t="s">
        <v>4</v>
      </c>
      <c r="B2" s="4" t="s">
        <v>5</v>
      </c>
    </row>
    <row r="3" ht="15.0" customHeight="1">
      <c r="A3" s="4" t="s">
        <v>6</v>
      </c>
      <c r="B3" s="4" t="s">
        <v>7</v>
      </c>
    </row>
    <row r="4" ht="15.0" customHeight="1">
      <c r="A4" s="4" t="s">
        <v>8</v>
      </c>
      <c r="B4" s="4" t="s">
        <v>9</v>
      </c>
    </row>
    <row r="5" ht="15.0" customHeight="1">
      <c r="A5" s="1"/>
      <c r="B5" s="4" t="s">
        <v>10</v>
      </c>
    </row>
    <row r="6" ht="15.0" customHeight="1">
      <c r="A6" s="1"/>
      <c r="B6" s="4" t="s">
        <v>11</v>
      </c>
    </row>
    <row r="7" ht="15.0" customHeight="1">
      <c r="A7" s="1"/>
      <c r="B7" s="4" t="s">
        <v>12</v>
      </c>
    </row>
    <row r="8" ht="15.0" customHeight="1">
      <c r="A8" s="1"/>
      <c r="B8" s="4" t="s">
        <v>13</v>
      </c>
    </row>
    <row r="9" ht="15.0" customHeight="1">
      <c r="A9" s="1"/>
      <c r="B9" s="4" t="s">
        <v>14</v>
      </c>
    </row>
    <row r="10" ht="15.0" customHeight="1">
      <c r="A10" s="1"/>
      <c r="B10" s="4" t="s">
        <v>15</v>
      </c>
    </row>
    <row r="11" ht="15.0" customHeight="1">
      <c r="A11" s="1"/>
      <c r="B11" s="4" t="s">
        <v>17</v>
      </c>
    </row>
    <row r="12" ht="15.0" customHeight="1">
      <c r="A12" s="1"/>
      <c r="B12" s="4" t="s">
        <v>19</v>
      </c>
    </row>
    <row r="13" ht="15.0" customHeight="1">
      <c r="A13" s="1"/>
      <c r="B13" s="4" t="s">
        <v>20</v>
      </c>
    </row>
    <row r="14" ht="15.0" customHeight="1">
      <c r="A14" s="1"/>
      <c r="B14" s="4" t="s">
        <v>22</v>
      </c>
    </row>
    <row r="15" ht="15.0" customHeight="1">
      <c r="A15" s="1"/>
      <c r="B15" s="4" t="s">
        <v>23</v>
      </c>
    </row>
    <row r="16" ht="15.0" customHeight="1">
      <c r="A16" s="1"/>
      <c r="B16" s="4" t="s">
        <v>24</v>
      </c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2026-04-06T21:51:29Z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